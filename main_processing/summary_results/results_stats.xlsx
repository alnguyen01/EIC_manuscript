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lexa\Documents\GitHub\EIC_manuscript\main_processing\summary_results\"/>
    </mc:Choice>
  </mc:AlternateContent>
  <xr:revisionPtr revIDLastSave="0" documentId="13_ncr:1_{B2639911-16FB-4EB1-9008-B32448ECD9C7}" xr6:coauthVersionLast="47" xr6:coauthVersionMax="47" xr10:uidLastSave="{00000000-0000-0000-0000-000000000000}"/>
  <bookViews>
    <workbookView xWindow="28680" yWindow="-120" windowWidth="29040" windowHeight="15720" firstSheet="1" activeTab="4" xr2:uid="{00000000-000D-0000-FFFF-FFFF00000000}"/>
  </bookViews>
  <sheets>
    <sheet name="ReSALT_values" sheetId="1" r:id="rId1"/>
    <sheet name="Validation" sheetId="2" r:id="rId2"/>
    <sheet name="Spat_avg" sheetId="3" r:id="rId3"/>
    <sheet name="TimeSeries" sheetId="4" r:id="rId4"/>
    <sheet name="TL_Age" sheetId="5" r:id="rId5"/>
    <sheet name="Mean r2" sheetId="6" r:id="rId6"/>
    <sheet name="ADDT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5" l="1"/>
  <c r="J13" i="5"/>
  <c r="K12" i="5"/>
  <c r="J12" i="5"/>
  <c r="K11" i="5"/>
  <c r="J11" i="5"/>
  <c r="E5" i="4"/>
  <c r="D4" i="4"/>
  <c r="D5" i="4"/>
  <c r="D6" i="4"/>
  <c r="D7" i="4"/>
  <c r="D8" i="4"/>
  <c r="D3" i="4"/>
</calcChain>
</file>

<file path=xl/sharedStrings.xml><?xml version="1.0" encoding="utf-8"?>
<sst xmlns="http://schemas.openxmlformats.org/spreadsheetml/2006/main" count="190" uniqueCount="116">
  <si>
    <t>Year</t>
  </si>
  <si>
    <t>E (cm)</t>
  </si>
  <si>
    <t>ALT (cm)</t>
  </si>
  <si>
    <t>EIC_thick (cm)</t>
  </si>
  <si>
    <t>EIC (%)</t>
  </si>
  <si>
    <t>Number of pixels</t>
  </si>
  <si>
    <t>In Situ ALT (cm)</t>
  </si>
  <si>
    <t>Coincident ReSALT (cm)</t>
  </si>
  <si>
    <t>r-squared (-)</t>
  </si>
  <si>
    <t>In Situ EIC (%)</t>
  </si>
  <si>
    <t>r-squared  (-)</t>
  </si>
  <si>
    <t>-</t>
  </si>
  <si>
    <t>Coincident EIC (%)</t>
  </si>
  <si>
    <t>Cores</t>
  </si>
  <si>
    <t>ALT</t>
  </si>
  <si>
    <t>Probes</t>
  </si>
  <si>
    <t>Final</t>
  </si>
  <si>
    <t>EIC</t>
  </si>
  <si>
    <t>--</t>
  </si>
  <si>
    <t>Total Averaged Cores</t>
  </si>
  <si>
    <t>Total Averaged Probes</t>
  </si>
  <si>
    <t>5th - 95th range</t>
  </si>
  <si>
    <t>Median</t>
  </si>
  <si>
    <t>Q1 - Q3</t>
  </si>
  <si>
    <t>2.7 - 10.4</t>
  </si>
  <si>
    <t>4.1 - 7</t>
  </si>
  <si>
    <t>40.4 - 231.3</t>
  </si>
  <si>
    <t>72.8 - 144.7</t>
  </si>
  <si>
    <t>1.5 - 9.2</t>
  </si>
  <si>
    <t>2.8 - 5.7</t>
  </si>
  <si>
    <t>3.8 - 32.6</t>
  </si>
  <si>
    <t>7.5 - 17.7</t>
  </si>
  <si>
    <t>0.8 - 4.4</t>
  </si>
  <si>
    <t>1.7 - 3</t>
  </si>
  <si>
    <t>9.4 - 80.6</t>
  </si>
  <si>
    <t>21.3 - 46.9</t>
  </si>
  <si>
    <t>0 - 3.2</t>
  </si>
  <si>
    <t>0.2 - 1.7</t>
  </si>
  <si>
    <t>0 - 12.8</t>
  </si>
  <si>
    <t>0.6 - 5.2</t>
  </si>
  <si>
    <t>1.2 - 5.9</t>
  </si>
  <si>
    <t>2.5 - 4.1</t>
  </si>
  <si>
    <t>15.3 - 116.6</t>
  </si>
  <si>
    <t>35.3 - 71.3</t>
  </si>
  <si>
    <t>0 - 4.6</t>
  </si>
  <si>
    <t>1 - 2.8</t>
  </si>
  <si>
    <t>0 - 17.6</t>
  </si>
  <si>
    <t>2.7 - 9.2</t>
  </si>
  <si>
    <t>0.3 - 4.2</t>
  </si>
  <si>
    <t>1.1 - 2.5</t>
  </si>
  <si>
    <t>4.3 - 73.3</t>
  </si>
  <si>
    <t>13.6 - 36.6</t>
  </si>
  <si>
    <t>0 - 3</t>
  </si>
  <si>
    <t>0 - 1.2</t>
  </si>
  <si>
    <t>0 - 10.6</t>
  </si>
  <si>
    <t>0 - 3.9</t>
  </si>
  <si>
    <t>1.1 - 6.1</t>
  </si>
  <si>
    <t>2.2 - 4.2</t>
  </si>
  <si>
    <t>13.6 - 123.8</t>
  </si>
  <si>
    <t>31.1 - 74.3</t>
  </si>
  <si>
    <t>0 - 4.9</t>
  </si>
  <si>
    <t>0.9 - 2.9</t>
  </si>
  <si>
    <t>0 - 18.5</t>
  </si>
  <si>
    <t>2.4 - 9.1</t>
  </si>
  <si>
    <t>2.9 - 9.3</t>
  </si>
  <si>
    <t>4.5 - 6.8</t>
  </si>
  <si>
    <t>45.3 - 204.7</t>
  </si>
  <si>
    <t>81.1 - 140.4</t>
  </si>
  <si>
    <t>1.6 - 7.9</t>
  </si>
  <si>
    <t>3.1 - 5.4</t>
  </si>
  <si>
    <t>4 - 30.1</t>
  </si>
  <si>
    <t>8.1 - 17.3</t>
  </si>
  <si>
    <t>Teshekpuk Lake Margin</t>
  </si>
  <si>
    <t>Coherent Drew Point</t>
  </si>
  <si>
    <t>Drew Point</t>
  </si>
  <si>
    <t>Boat Creek</t>
  </si>
  <si>
    <t>McLeod Point</t>
  </si>
  <si>
    <t>Old Basin</t>
  </si>
  <si>
    <t>Pixel Location</t>
  </si>
  <si>
    <t>Sample_basin_ID</t>
  </si>
  <si>
    <t>T5-CHRONO-CPC-7</t>
  </si>
  <si>
    <t>moss</t>
  </si>
  <si>
    <t>marine silt</t>
  </si>
  <si>
    <t>drainage</t>
  </si>
  <si>
    <t>Depth_cm</t>
  </si>
  <si>
    <t>material_category</t>
  </si>
  <si>
    <t>surficial_geology</t>
  </si>
  <si>
    <t>LAT</t>
  </si>
  <si>
    <t>LON</t>
  </si>
  <si>
    <t>Feature</t>
  </si>
  <si>
    <t>Age_uncal</t>
  </si>
  <si>
    <t>uncert</t>
  </si>
  <si>
    <t>T6-CHRONO-CPC-8</t>
  </si>
  <si>
    <t>T3-CHRONO-CPC-6</t>
  </si>
  <si>
    <t>TESH-DLB-PH-8</t>
  </si>
  <si>
    <t>grass</t>
  </si>
  <si>
    <t>TESH-DLB-PH-9</t>
  </si>
  <si>
    <t>mixed</t>
  </si>
  <si>
    <t>Med_Subsidence_2019_cm</t>
  </si>
  <si>
    <t>TESH-DLB-PH-10</t>
  </si>
  <si>
    <t>TESH-DLB-PH-11</t>
  </si>
  <si>
    <t>TESH-DLB-PH-12</t>
  </si>
  <si>
    <t>Med_Subsidence_2021_cm</t>
  </si>
  <si>
    <t>change</t>
  </si>
  <si>
    <t>ALT mean r2</t>
  </si>
  <si>
    <t>EIC mean r2</t>
  </si>
  <si>
    <t>ADDT</t>
  </si>
  <si>
    <t>Thaw Season Length</t>
  </si>
  <si>
    <t>Median_Subsidence</t>
  </si>
  <si>
    <t>Median_EIC_percent</t>
  </si>
  <si>
    <t>Precip</t>
  </si>
  <si>
    <t>Averages</t>
  </si>
  <si>
    <t>Inland Average</t>
  </si>
  <si>
    <t>Coastal Average</t>
  </si>
  <si>
    <t>Mean_E_Uncert_2019</t>
  </si>
  <si>
    <t>Mean_E_Uncert_2021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</si>
</sst>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0" fillId="0" borderId="0" xfId="0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5" xfId="0" applyFont="1" applyBorder="1"/>
    <xf numFmtId="0" fontId="1" fillId="0" borderId="8" xfId="0" applyFont="1" applyBorder="1"/>
    <xf numFmtId="0" fontId="1" fillId="0" borderId="6" xfId="0" applyFont="1" applyBorder="1"/>
    <xf numFmtId="0" fontId="1" fillId="0" borderId="7" xfId="0" applyFont="1" applyBorder="1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1" fillId="0" borderId="0" xfId="0" applyFont="1" applyFill="1" applyBorder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Subsidence</a:t>
            </a:r>
            <a:r>
              <a:rPr lang="en-US" baseline="0"/>
              <a:t> vs Year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Teshekpuk Lake Margin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TimeSeries!$B$3:$C$3</c:f>
              <c:numCache>
                <c:formatCode>General</c:formatCode>
                <c:ptCount val="2"/>
                <c:pt idx="0">
                  <c:v>0.4</c:v>
                </c:pt>
                <c:pt idx="1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F4-4C9B-8613-BB5E7732EEF1}"/>
            </c:ext>
          </c:extLst>
        </c:ser>
        <c:ser>
          <c:idx val="1"/>
          <c:order val="1"/>
          <c:tx>
            <c:v>Coherent Drew Point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TimeSeries!$B$4:$C$4</c:f>
              <c:numCache>
                <c:formatCode>General</c:formatCode>
                <c:ptCount val="2"/>
                <c:pt idx="0">
                  <c:v>4.0999999999999996</c:v>
                </c:pt>
                <c:pt idx="1">
                  <c:v>-0.2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F4-4C9B-8613-BB5E7732EEF1}"/>
            </c:ext>
          </c:extLst>
        </c:ser>
        <c:ser>
          <c:idx val="2"/>
          <c:order val="2"/>
          <c:tx>
            <c:v>Drew Point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TimeSeries!$B$5:$C$5</c:f>
              <c:numCache>
                <c:formatCode>General</c:formatCode>
                <c:ptCount val="2"/>
                <c:pt idx="0">
                  <c:v>8.6999999999999993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F4-4C9B-8613-BB5E7732EEF1}"/>
            </c:ext>
          </c:extLst>
        </c:ser>
        <c:ser>
          <c:idx val="3"/>
          <c:order val="3"/>
          <c:tx>
            <c:v>McLeod Point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TimeSeries!$B$6:$C$6</c:f>
              <c:numCache>
                <c:formatCode>General</c:formatCode>
                <c:ptCount val="2"/>
                <c:pt idx="0">
                  <c:v>10.9</c:v>
                </c:pt>
                <c:pt idx="1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F4-4C9B-8613-BB5E7732EEF1}"/>
            </c:ext>
          </c:extLst>
        </c:ser>
        <c:ser>
          <c:idx val="4"/>
          <c:order val="4"/>
          <c:tx>
            <c:v>Old Basin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TimeSeries!$B$7:$C$7</c:f>
              <c:numCache>
                <c:formatCode>General</c:formatCode>
                <c:ptCount val="2"/>
                <c:pt idx="0">
                  <c:v>11.1</c:v>
                </c:pt>
                <c:pt idx="1">
                  <c:v>4.0999999999999996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EF4-4C9B-8613-BB5E7732EEF1}"/>
            </c:ext>
          </c:extLst>
        </c:ser>
        <c:ser>
          <c:idx val="5"/>
          <c:order val="5"/>
          <c:tx>
            <c:v>Boat Creek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TimeSeries!$B$8:$C$8</c:f>
              <c:numCache>
                <c:formatCode>General</c:formatCode>
                <c:ptCount val="2"/>
                <c:pt idx="0">
                  <c:v>12.8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F4-4C9B-8613-BB5E7732EE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2672464"/>
        <c:axId val="1112668144"/>
      </c:scatterChart>
      <c:valAx>
        <c:axId val="1112672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668144"/>
        <c:crosses val="autoZero"/>
        <c:crossBetween val="midCat"/>
      </c:valAx>
      <c:valAx>
        <c:axId val="11126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Subsidence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672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InSAR-derived</a:t>
            </a:r>
            <a:r>
              <a:rPr lang="en-US" baseline="0"/>
              <a:t> Seasonal Subsidence vs Thermokarst Lake Drainage Age for 2019 and 2021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Inland_2019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4718583498332525E-2"/>
                  <c:y val="-0.194367312985045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(TL_Age!$H$4,TL_Age!$H$7,TL_Age!$H$9)</c:f>
              <c:numCache>
                <c:formatCode>General</c:formatCode>
                <c:ptCount val="3"/>
                <c:pt idx="0">
                  <c:v>285</c:v>
                </c:pt>
                <c:pt idx="1">
                  <c:v>850</c:v>
                </c:pt>
                <c:pt idx="2">
                  <c:v>2270</c:v>
                </c:pt>
              </c:numCache>
            </c:numRef>
          </c:xVal>
          <c:yVal>
            <c:numRef>
              <c:f>(TL_Age!$J$4,TL_Age!$J$7,TL_Age!$J$9)</c:f>
              <c:numCache>
                <c:formatCode>General</c:formatCode>
                <c:ptCount val="3"/>
                <c:pt idx="0">
                  <c:v>8.3000000000000007</c:v>
                </c:pt>
                <c:pt idx="1">
                  <c:v>6.8</c:v>
                </c:pt>
                <c:pt idx="2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5-47DF-8156-7B22F94AF7C2}"/>
            </c:ext>
          </c:extLst>
        </c:ser>
        <c:ser>
          <c:idx val="1"/>
          <c:order val="1"/>
          <c:tx>
            <c:v>Coastal_2019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5899618856443776"/>
                  <c:y val="0.115886413473640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(TL_Age!$H$2,TL_Age!$H$3,TL_Age!$H$5,TL_Age!$H$6,TL_Age!$H$8)</c:f>
              <c:numCache>
                <c:formatCode>General</c:formatCode>
                <c:ptCount val="5"/>
                <c:pt idx="0">
                  <c:v>1</c:v>
                </c:pt>
                <c:pt idx="1">
                  <c:v>235</c:v>
                </c:pt>
                <c:pt idx="2">
                  <c:v>305</c:v>
                </c:pt>
                <c:pt idx="3">
                  <c:v>705</c:v>
                </c:pt>
                <c:pt idx="4">
                  <c:v>1470</c:v>
                </c:pt>
              </c:numCache>
            </c:numRef>
          </c:xVal>
          <c:yVal>
            <c:numRef>
              <c:f>(TL_Age!$J$2,TL_Age!$J$3,TL_Age!$J$5,TL_Age!$J$6,TL_Age!$J$8)</c:f>
              <c:numCache>
                <c:formatCode>General</c:formatCode>
                <c:ptCount val="5"/>
                <c:pt idx="0">
                  <c:v>4.5</c:v>
                </c:pt>
                <c:pt idx="1">
                  <c:v>5.7</c:v>
                </c:pt>
                <c:pt idx="2">
                  <c:v>5.2</c:v>
                </c:pt>
                <c:pt idx="3">
                  <c:v>6.8</c:v>
                </c:pt>
                <c:pt idx="4">
                  <c:v>6.1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5-47DF-8156-7B22F94AF7C2}"/>
            </c:ext>
          </c:extLst>
        </c:ser>
        <c:ser>
          <c:idx val="2"/>
          <c:order val="2"/>
          <c:tx>
            <c:v>Inland_2021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4.7543806920746674E-2"/>
                  <c:y val="-0.1008043297420349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(TL_Age!$H$4,TL_Age!$H$7,TL_Age!$H$9)</c:f>
              <c:numCache>
                <c:formatCode>General</c:formatCode>
                <c:ptCount val="3"/>
                <c:pt idx="0">
                  <c:v>285</c:v>
                </c:pt>
                <c:pt idx="1">
                  <c:v>850</c:v>
                </c:pt>
                <c:pt idx="2">
                  <c:v>2270</c:v>
                </c:pt>
              </c:numCache>
            </c:numRef>
          </c:xVal>
          <c:yVal>
            <c:numRef>
              <c:f>(TL_Age!$K$4,TL_Age!$K$7,TL_Age!$K$9)</c:f>
              <c:numCache>
                <c:formatCode>General</c:formatCode>
                <c:ptCount val="3"/>
                <c:pt idx="0">
                  <c:v>3</c:v>
                </c:pt>
                <c:pt idx="1">
                  <c:v>2.9</c:v>
                </c:pt>
                <c:pt idx="2">
                  <c:v>2.1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5-47DF-8156-7B22F94AF7C2}"/>
            </c:ext>
          </c:extLst>
        </c:ser>
        <c:ser>
          <c:idx val="3"/>
          <c:order val="3"/>
          <c:tx>
            <c:v>Coastal_2021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4.4306922060379774E-3"/>
                  <c:y val="7.55140816048908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(TL_Age!$H$2,TL_Age!$H$3,TL_Age!$H$5,TL_Age!$H$6,TL_Age!$H$8)</c:f>
              <c:numCache>
                <c:formatCode>General</c:formatCode>
                <c:ptCount val="5"/>
                <c:pt idx="0">
                  <c:v>1</c:v>
                </c:pt>
                <c:pt idx="1">
                  <c:v>235</c:v>
                </c:pt>
                <c:pt idx="2">
                  <c:v>305</c:v>
                </c:pt>
                <c:pt idx="3">
                  <c:v>705</c:v>
                </c:pt>
                <c:pt idx="4">
                  <c:v>1470</c:v>
                </c:pt>
              </c:numCache>
            </c:numRef>
          </c:xVal>
          <c:yVal>
            <c:numRef>
              <c:f>(TL_Age!$K$2,TL_Age!$K$3,TL_Age!$K$5,TL_Age!$K$6,TL_Age!$K$8)</c:f>
              <c:numCache>
                <c:formatCode>General</c:formatCode>
                <c:ptCount val="5"/>
                <c:pt idx="0">
                  <c:v>0.3</c:v>
                </c:pt>
                <c:pt idx="1">
                  <c:v>0.9</c:v>
                </c:pt>
                <c:pt idx="2">
                  <c:v>1</c:v>
                </c:pt>
                <c:pt idx="3">
                  <c:v>1.2</c:v>
                </c:pt>
                <c:pt idx="4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155-47DF-8156-7B22F94AF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5985232"/>
        <c:axId val="1845988592"/>
      </c:scatterChart>
      <c:valAx>
        <c:axId val="184598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Drainage</a:t>
                </a:r>
                <a:r>
                  <a:rPr lang="en-US" baseline="0"/>
                  <a:t> 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988592"/>
        <c:crosses val="autoZero"/>
        <c:crossBetween val="midCat"/>
      </c:valAx>
      <c:valAx>
        <c:axId val="18459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InSAR-derived</a:t>
                </a:r>
                <a:r>
                  <a:rPr lang="en-US" baseline="0"/>
                  <a:t> Seasonal Subsidence (cm)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985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ALT Mean r^2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2942388451443571"/>
                  <c:y val="4.55635753864100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'Mean r2'!$D$2:$D$6</c:f>
              <c:numCache>
                <c:formatCode>General</c:formatCode>
                <c:ptCount val="5"/>
                <c:pt idx="0">
                  <c:v>613</c:v>
                </c:pt>
                <c:pt idx="1">
                  <c:v>305</c:v>
                </c:pt>
                <c:pt idx="2">
                  <c:v>278</c:v>
                </c:pt>
                <c:pt idx="3">
                  <c:v>326</c:v>
                </c:pt>
                <c:pt idx="4">
                  <c:v>517</c:v>
                </c:pt>
              </c:numCache>
            </c:numRef>
          </c:xVal>
          <c:yVal>
            <c:numRef>
              <c:f>'Mean r2'!$B$2:$B$6</c:f>
              <c:numCache>
                <c:formatCode>General</c:formatCode>
                <c:ptCount val="5"/>
                <c:pt idx="0">
                  <c:v>491.93</c:v>
                </c:pt>
                <c:pt idx="1">
                  <c:v>31.24</c:v>
                </c:pt>
                <c:pt idx="2">
                  <c:v>18.62</c:v>
                </c:pt>
                <c:pt idx="3">
                  <c:v>11.82</c:v>
                </c:pt>
                <c:pt idx="4">
                  <c:v>303.98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BF-4289-AC15-ABC43BBD3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607903"/>
        <c:axId val="2460838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EIC Mean r^2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('Mean r2'!$D$2,'Mean r2'!$D$4,'Mean r2'!$D$5)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613</c:v>
                      </c:pt>
                      <c:pt idx="1">
                        <c:v>278</c:v>
                      </c:pt>
                      <c:pt idx="2">
                        <c:v>326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('Mean r2'!$C$2,'Mean r2'!$C$4,'Mean r2'!$C$5)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0.96</c:v>
                      </c:pt>
                      <c:pt idx="1">
                        <c:v>1.53</c:v>
                      </c:pt>
                      <c:pt idx="2">
                        <c:v>17.73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64BF-4289-AC15-ABC43BBD3B6B}"/>
                  </c:ext>
                </c:extLst>
              </c15:ser>
            </c15:filteredScatterSeries>
          </c:ext>
        </c:extLst>
      </c:scatterChart>
      <c:valAx>
        <c:axId val="24607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ADDT</a:t>
                </a:r>
                <a:r>
                  <a:rPr lang="en-US" baseline="0"/>
                  <a:t> (oC days)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8383"/>
        <c:crosses val="autoZero"/>
        <c:crossBetween val="midCat"/>
      </c:valAx>
      <c:valAx>
        <c:axId val="2460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ALT</a:t>
                </a:r>
                <a:r>
                  <a:rPr lang="en-US" baseline="0"/>
                  <a:t>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7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v>EIC Mean r^2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('Mean r2'!$D$2,'Mean r2'!$D$4,'Mean r2'!$D$5)</c:f>
              <c:numCache>
                <c:formatCode>General</c:formatCode>
                <c:ptCount val="3"/>
                <c:pt idx="0">
                  <c:v>613</c:v>
                </c:pt>
                <c:pt idx="1">
                  <c:v>278</c:v>
                </c:pt>
                <c:pt idx="2">
                  <c:v>326</c:v>
                </c:pt>
              </c:numCache>
              <c:extLst xmlns:c15="http://schemas.microsoft.com/office/drawing/2012/chart"/>
            </c:numRef>
          </c:xVal>
          <c:yVal>
            <c:numRef>
              <c:f>('Mean r2'!$C$2,'Mean r2'!$C$4,'Mean r2'!$C$5)</c:f>
              <c:numCache>
                <c:formatCode>General</c:formatCode>
                <c:ptCount val="3"/>
                <c:pt idx="0">
                  <c:v>0.96</c:v>
                </c:pt>
                <c:pt idx="1">
                  <c:v>1.53</c:v>
                </c:pt>
                <c:pt idx="2">
                  <c:v>17.73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3-9005-4B26-887C-4EBA11804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607903"/>
        <c:axId val="246083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ALT Mean r^2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trendline>
                  <c:spPr>
                    <a:ln w="19050" cap="rnd">
                      <a:solidFill>
                        <a:schemeClr val="accent1"/>
                      </a:solidFill>
                      <a:prstDash val="sysDot"/>
                    </a:ln>
                    <a:effectLst/>
                  </c:spPr>
                  <c:trendlineType val="linear"/>
                  <c:dispRSqr val="0"/>
                  <c:dispEq val="0"/>
                </c:trendline>
                <c:trendline>
                  <c:spPr>
                    <a:ln w="19050" cap="rnd">
                      <a:solidFill>
                        <a:schemeClr val="accent1"/>
                      </a:solidFill>
                      <a:prstDash val="sysDot"/>
                    </a:ln>
                    <a:effectLst/>
                  </c:spPr>
                  <c:trendlineType val="linear"/>
                  <c:dispRSqr val="1"/>
                  <c:dispEq val="1"/>
                  <c:trendlineLbl>
                    <c:layout>
                      <c:manualLayout>
                        <c:x val="-0.12942388451443571"/>
                        <c:y val="4.5563575386410031E-2"/>
                      </c:manualLayout>
                    </c:layout>
                    <c:numFmt formatCode="General" sourceLinked="0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anchor="ctr" anchorCtr="1"/>
                      <a:lstStyle/>
                      <a:p>
                        <a:pPr>
                          <a:defRPr sz="900" b="0" i="0" u="none" strike="noStrike" kern="1200" baseline="0">
                            <a:solidFill>
                              <a:schemeClr val="tx1">
                                <a:lumMod val="65000"/>
                                <a:lumOff val="35000"/>
                              </a:schemeClr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en-US"/>
                      </a:p>
                    </c:txPr>
                  </c:trendlineLbl>
                </c:trendline>
                <c:xVal>
                  <c:numRef>
                    <c:extLst>
                      <c:ext uri="{02D57815-91ED-43cb-92C2-25804820EDAC}">
                        <c15:formulaRef>
                          <c15:sqref>'Mean r2'!$D$2:$D$6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613</c:v>
                      </c:pt>
                      <c:pt idx="1">
                        <c:v>305</c:v>
                      </c:pt>
                      <c:pt idx="2">
                        <c:v>278</c:v>
                      </c:pt>
                      <c:pt idx="3">
                        <c:v>326</c:v>
                      </c:pt>
                      <c:pt idx="4">
                        <c:v>517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'Mean r2'!$B$2:$B$6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491.93</c:v>
                      </c:pt>
                      <c:pt idx="1">
                        <c:v>31.24</c:v>
                      </c:pt>
                      <c:pt idx="2">
                        <c:v>18.62</c:v>
                      </c:pt>
                      <c:pt idx="3">
                        <c:v>11.82</c:v>
                      </c:pt>
                      <c:pt idx="4">
                        <c:v>303.98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9005-4B26-887C-4EBA11804238}"/>
                  </c:ext>
                </c:extLst>
              </c15:ser>
            </c15:filteredScatterSeries>
          </c:ext>
        </c:extLst>
      </c:scatterChart>
      <c:valAx>
        <c:axId val="24607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ADDT</a:t>
                </a:r>
                <a:r>
                  <a:rPr lang="en-US" baseline="0"/>
                  <a:t> (oC days)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8383"/>
        <c:crosses val="autoZero"/>
        <c:crossBetween val="midCat"/>
      </c:valAx>
      <c:valAx>
        <c:axId val="2460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EIC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7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ALT</a:t>
            </a:r>
            <a:r>
              <a:rPr lang="en-US" baseline="0"/>
              <a:t> mean r^2 vs EIC mean r^2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6.2005934369914313E-2"/>
                  <c:y val="-0.1860147073095186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('Mean r2'!$B$2,'Mean r2'!$B$4,'Mean r2'!$B$5)</c:f>
              <c:numCache>
                <c:formatCode>General</c:formatCode>
                <c:ptCount val="3"/>
                <c:pt idx="0">
                  <c:v>491.93</c:v>
                </c:pt>
                <c:pt idx="1">
                  <c:v>18.62</c:v>
                </c:pt>
                <c:pt idx="2">
                  <c:v>11.82</c:v>
                </c:pt>
              </c:numCache>
            </c:numRef>
          </c:xVal>
          <c:yVal>
            <c:numRef>
              <c:f>('Mean r2'!$C$2,'Mean r2'!$C$4,'Mean r2'!$C$5)</c:f>
              <c:numCache>
                <c:formatCode>General</c:formatCode>
                <c:ptCount val="3"/>
                <c:pt idx="0">
                  <c:v>0.96</c:v>
                </c:pt>
                <c:pt idx="1">
                  <c:v>1.53</c:v>
                </c:pt>
                <c:pt idx="2">
                  <c:v>17.73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93-4288-917D-C9178B047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827007"/>
        <c:axId val="356828927"/>
      </c:scatterChart>
      <c:valAx>
        <c:axId val="356827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ALT</a:t>
                </a:r>
                <a:r>
                  <a:rPr lang="en-US" baseline="0"/>
                  <a:t>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828927"/>
        <c:crosses val="autoZero"/>
        <c:crossBetween val="midCat"/>
      </c:valAx>
      <c:valAx>
        <c:axId val="356828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EIC</a:t>
                </a:r>
                <a:r>
                  <a:rPr lang="en-US" baseline="0"/>
                  <a:t>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827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259080</xdr:colOff>
      <xdr:row>9</xdr:row>
      <xdr:rowOff>80010</xdr:rowOff>
    </xdr:from>
    <xdr:to>
      <xdr:col>6</xdr:col>
      <xdr:colOff>320040</xdr:colOff>
      <xdr:row>24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2052E9-7304-E968-3955-48B7BBE6D9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244364</xdr:colOff>
      <xdr:row>14</xdr:row>
      <xdr:rowOff>147026</xdr:rowOff>
    </xdr:from>
    <xdr:to>
      <xdr:col>10</xdr:col>
      <xdr:colOff>1324437</xdr:colOff>
      <xdr:row>36</xdr:row>
      <xdr:rowOff>68271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9B4948-556F-AC2A-0AE2-A258C41ED2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281940</xdr:colOff>
      <xdr:row>6</xdr:row>
      <xdr:rowOff>140970</xdr:rowOff>
    </xdr:from>
    <xdr:to>
      <xdr:col>7</xdr:col>
      <xdr:colOff>304800</xdr:colOff>
      <xdr:row>21</xdr:row>
      <xdr:rowOff>140970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985CEF-63F8-F862-7174-C6887A7DC1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525780</xdr:colOff>
      <xdr:row>6</xdr:row>
      <xdr:rowOff>144780</xdr:rowOff>
    </xdr:from>
    <xdr:to>
      <xdr:col>15</xdr:col>
      <xdr:colOff>220980</xdr:colOff>
      <xdr:row>21</xdr:row>
      <xdr:rowOff>144780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C3183F-E0C5-4AC1-85DE-0E2AA53BBB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60960</xdr:colOff>
      <xdr:row>22</xdr:row>
      <xdr:rowOff>87630</xdr:rowOff>
    </xdr:from>
    <xdr:to>
      <xdr:col>7</xdr:col>
      <xdr:colOff>83820</xdr:colOff>
      <xdr:row>37</xdr:row>
      <xdr:rowOff>87630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C02B629-351D-052B-7448-FC74A5F15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opLeftCell="E1" workbookViewId="0">
      <selection activeCell="L3" sqref="L3:L8"/>
    </sheetView>
  </sheetViews>
  <sheetFormatPr defaultRowHeight="14.4" x14ac:dyDescent="0.3"/>
  <cols>
    <col min="2" max="2" width="22" bestFit="1" customWidth="1"/>
    <col min="3" max="3" width="11.44140625" bestFit="1" customWidth="1"/>
    <col min="4" max="4" width="11.44140625" customWidth="1"/>
    <col min="5" max="5" width="28.109375" bestFit="1" customWidth="1"/>
    <col min="6" max="7" width="14.5546875" bestFit="1" customWidth="1"/>
    <col min="8" max="8" width="22" bestFit="1" customWidth="1"/>
    <col min="9" max="10" width="11.44140625" bestFit="1" customWidth="1"/>
    <col min="11" max="11" width="24" bestFit="1" customWidth="1"/>
    <col min="12" max="12" width="13.5546875" bestFit="1" customWidth="1"/>
    <col min="13" max="13" width="12.44140625" bestFit="1" customWidth="1"/>
  </cols>
  <sheetData>
    <row r="1" spans="1:13" x14ac:dyDescent="0.3">
      <c r="A1" t="s">
        <v>0</v>
      </c>
      <c r="B1" s="20" t="s">
        <v>1</v>
      </c>
      <c r="C1" s="20"/>
      <c r="D1" s="1"/>
      <c r="E1" s="20" t="s">
        <v>2</v>
      </c>
      <c r="F1" s="20"/>
      <c r="G1" s="20"/>
      <c r="H1" s="20" t="s">
        <v>3</v>
      </c>
      <c r="I1" s="20"/>
      <c r="J1" s="20"/>
      <c r="K1" s="20" t="s">
        <v>4</v>
      </c>
      <c r="L1" s="20"/>
      <c r="M1" s="20"/>
    </row>
    <row r="2" spans="1:13" x14ac:dyDescent="0.3">
      <c r="B2" s="1" t="s">
        <v>21</v>
      </c>
      <c r="C2" s="1" t="s">
        <v>22</v>
      </c>
      <c r="D2" s="1" t="s">
        <v>23</v>
      </c>
      <c r="E2" s="1" t="s">
        <v>21</v>
      </c>
      <c r="F2" s="1" t="s">
        <v>22</v>
      </c>
      <c r="G2" s="1" t="s">
        <v>23</v>
      </c>
      <c r="H2" s="1" t="s">
        <v>21</v>
      </c>
      <c r="I2" s="1" t="s">
        <v>22</v>
      </c>
      <c r="J2" s="1" t="s">
        <v>23</v>
      </c>
      <c r="K2" s="1" t="s">
        <v>21</v>
      </c>
      <c r="L2" s="1" t="s">
        <v>22</v>
      </c>
      <c r="M2" s="1" t="s">
        <v>23</v>
      </c>
    </row>
    <row r="3" spans="1:13" x14ac:dyDescent="0.3">
      <c r="A3">
        <v>2018</v>
      </c>
      <c r="B3" s="6" t="s">
        <v>32</v>
      </c>
      <c r="C3" s="6">
        <v>2.2999999999999998</v>
      </c>
      <c r="D3" s="6" t="s">
        <v>33</v>
      </c>
      <c r="E3" s="6" t="s">
        <v>34</v>
      </c>
      <c r="F3" s="6">
        <v>32.299999999999997</v>
      </c>
      <c r="G3" s="6" t="s">
        <v>35</v>
      </c>
      <c r="H3" s="6" t="s">
        <v>36</v>
      </c>
      <c r="I3" s="6">
        <v>0.9</v>
      </c>
      <c r="J3" s="6" t="s">
        <v>37</v>
      </c>
      <c r="K3" s="6" t="s">
        <v>38</v>
      </c>
      <c r="L3" s="7">
        <v>2.6</v>
      </c>
      <c r="M3" s="6" t="s">
        <v>39</v>
      </c>
    </row>
    <row r="4" spans="1:13" x14ac:dyDescent="0.3">
      <c r="A4">
        <v>2019</v>
      </c>
      <c r="B4" s="6" t="s">
        <v>24</v>
      </c>
      <c r="C4" s="6">
        <v>5.3</v>
      </c>
      <c r="D4" s="6" t="s">
        <v>25</v>
      </c>
      <c r="E4" s="6" t="s">
        <v>26</v>
      </c>
      <c r="F4" s="6">
        <v>101.5</v>
      </c>
      <c r="G4" s="6" t="s">
        <v>27</v>
      </c>
      <c r="H4" s="6" t="s">
        <v>28</v>
      </c>
      <c r="I4" s="6">
        <v>3.9</v>
      </c>
      <c r="J4" s="6" t="s">
        <v>29</v>
      </c>
      <c r="K4" s="6" t="s">
        <v>30</v>
      </c>
      <c r="L4" s="6">
        <v>11.2</v>
      </c>
      <c r="M4" s="6" t="s">
        <v>31</v>
      </c>
    </row>
    <row r="5" spans="1:13" x14ac:dyDescent="0.3">
      <c r="A5">
        <v>2020</v>
      </c>
      <c r="B5" s="8" t="s">
        <v>40</v>
      </c>
      <c r="C5" s="6">
        <v>3.2</v>
      </c>
      <c r="D5" s="6" t="s">
        <v>41</v>
      </c>
      <c r="E5" s="6" t="s">
        <v>42</v>
      </c>
      <c r="F5" s="6">
        <v>51.4</v>
      </c>
      <c r="G5" s="6" t="s">
        <v>43</v>
      </c>
      <c r="H5" s="6" t="s">
        <v>44</v>
      </c>
      <c r="I5" s="6">
        <v>1.9</v>
      </c>
      <c r="J5" s="6" t="s">
        <v>45</v>
      </c>
      <c r="K5" s="6" t="s">
        <v>46</v>
      </c>
      <c r="L5" s="6">
        <v>5.3</v>
      </c>
      <c r="M5" s="6" t="s">
        <v>47</v>
      </c>
    </row>
    <row r="6" spans="1:13" x14ac:dyDescent="0.3">
      <c r="A6">
        <v>2021</v>
      </c>
      <c r="B6" s="6" t="s">
        <v>48</v>
      </c>
      <c r="C6" s="6">
        <v>1.8</v>
      </c>
      <c r="D6" s="6" t="s">
        <v>49</v>
      </c>
      <c r="E6" s="7" t="s">
        <v>50</v>
      </c>
      <c r="F6" s="6">
        <v>22.9</v>
      </c>
      <c r="G6" s="6" t="s">
        <v>51</v>
      </c>
      <c r="H6" s="6" t="s">
        <v>52</v>
      </c>
      <c r="I6" s="6">
        <v>0.4</v>
      </c>
      <c r="J6" s="6" t="s">
        <v>53</v>
      </c>
      <c r="K6" s="6" t="s">
        <v>54</v>
      </c>
      <c r="L6" s="6">
        <v>1.2</v>
      </c>
      <c r="M6" s="6" t="s">
        <v>55</v>
      </c>
    </row>
    <row r="7" spans="1:13" x14ac:dyDescent="0.3">
      <c r="A7">
        <v>2022</v>
      </c>
      <c r="B7" s="6" t="s">
        <v>56</v>
      </c>
      <c r="C7" s="6">
        <v>3.2</v>
      </c>
      <c r="D7" s="6" t="s">
        <v>57</v>
      </c>
      <c r="E7" s="6" t="s">
        <v>58</v>
      </c>
      <c r="F7" s="6">
        <v>50.1</v>
      </c>
      <c r="G7" s="6" t="s">
        <v>59</v>
      </c>
      <c r="H7" s="6" t="s">
        <v>60</v>
      </c>
      <c r="I7" s="6">
        <v>1.8</v>
      </c>
      <c r="J7" s="6" t="s">
        <v>61</v>
      </c>
      <c r="K7" s="6" t="s">
        <v>62</v>
      </c>
      <c r="L7" s="6">
        <v>5.0999999999999996</v>
      </c>
      <c r="M7" s="7" t="s">
        <v>63</v>
      </c>
    </row>
    <row r="8" spans="1:13" x14ac:dyDescent="0.3">
      <c r="A8">
        <v>2023</v>
      </c>
      <c r="B8" s="6" t="s">
        <v>64</v>
      </c>
      <c r="C8" s="6">
        <v>5.5</v>
      </c>
      <c r="D8" s="6" t="s">
        <v>65</v>
      </c>
      <c r="E8" s="7" t="s">
        <v>66</v>
      </c>
      <c r="F8" s="7">
        <v>107.8</v>
      </c>
      <c r="G8" s="7" t="s">
        <v>67</v>
      </c>
      <c r="H8" s="7" t="s">
        <v>68</v>
      </c>
      <c r="I8" s="6">
        <v>4.0999999999999996</v>
      </c>
      <c r="J8" s="6" t="s">
        <v>69</v>
      </c>
      <c r="K8" s="6" t="s">
        <v>70</v>
      </c>
      <c r="L8" s="6">
        <v>11.8</v>
      </c>
      <c r="M8" s="6" t="s">
        <v>71</v>
      </c>
    </row>
  </sheetData>
  <mergeCells count="4">
    <mergeCell ref="E1:G1"/>
    <mergeCell ref="B1:C1"/>
    <mergeCell ref="H1:J1"/>
    <mergeCell ref="K1:M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F117-B6A8-4FFE-91EB-60A6448A24F9}">
  <dimension ref="A1:G9"/>
  <sheetViews>
    <sheetView workbookViewId="0">
      <selection activeCell="E12" sqref="E12"/>
    </sheetView>
  </sheetViews>
  <sheetFormatPr defaultRowHeight="14.4" x14ac:dyDescent="0.3"/>
  <cols>
    <col min="1" max="1" width="20.33203125" bestFit="1" customWidth="1"/>
  </cols>
  <sheetData>
    <row r="1" spans="1:7" x14ac:dyDescent="0.3">
      <c r="A1" t="s">
        <v>0</v>
      </c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</row>
    <row r="2" spans="1:7" x14ac:dyDescent="0.3">
      <c r="A2" t="s">
        <v>6</v>
      </c>
      <c r="B2" s="1" t="s">
        <v>11</v>
      </c>
      <c r="C2" s="3">
        <v>42.83</v>
      </c>
      <c r="D2">
        <v>28.84</v>
      </c>
      <c r="E2">
        <v>33.729999999999997</v>
      </c>
      <c r="F2">
        <v>42.6</v>
      </c>
      <c r="G2">
        <v>41</v>
      </c>
    </row>
    <row r="3" spans="1:7" x14ac:dyDescent="0.3">
      <c r="A3" t="s">
        <v>7</v>
      </c>
      <c r="B3" s="1" t="s">
        <v>11</v>
      </c>
      <c r="C3" s="3">
        <v>137.04</v>
      </c>
      <c r="D3">
        <v>59.67</v>
      </c>
      <c r="E3">
        <v>24.82</v>
      </c>
      <c r="F3">
        <v>23.01</v>
      </c>
      <c r="G3">
        <v>122.43</v>
      </c>
    </row>
    <row r="4" spans="1:7" x14ac:dyDescent="0.3">
      <c r="A4" t="s">
        <v>5</v>
      </c>
      <c r="B4" s="1" t="s">
        <v>11</v>
      </c>
      <c r="C4">
        <v>6</v>
      </c>
      <c r="D4">
        <v>12</v>
      </c>
      <c r="E4" s="3">
        <v>37</v>
      </c>
      <c r="F4">
        <v>10</v>
      </c>
      <c r="G4">
        <v>5</v>
      </c>
    </row>
    <row r="5" spans="1:7" x14ac:dyDescent="0.3">
      <c r="A5" t="s">
        <v>8</v>
      </c>
      <c r="B5" s="1" t="s">
        <v>11</v>
      </c>
      <c r="C5">
        <v>491.93</v>
      </c>
      <c r="D5" s="3">
        <v>5.28</v>
      </c>
      <c r="E5">
        <v>18.62</v>
      </c>
      <c r="F5">
        <v>11.82</v>
      </c>
      <c r="G5">
        <v>303.98</v>
      </c>
    </row>
    <row r="6" spans="1:7" x14ac:dyDescent="0.3">
      <c r="A6" t="s">
        <v>9</v>
      </c>
      <c r="B6" s="1" t="s">
        <v>11</v>
      </c>
      <c r="C6" s="3">
        <v>15.83</v>
      </c>
      <c r="D6" s="2" t="s">
        <v>11</v>
      </c>
      <c r="E6">
        <v>3.28</v>
      </c>
      <c r="F6">
        <v>13.85</v>
      </c>
      <c r="G6" s="1" t="s">
        <v>11</v>
      </c>
    </row>
    <row r="7" spans="1:7" x14ac:dyDescent="0.3">
      <c r="A7" t="s">
        <v>12</v>
      </c>
      <c r="B7" s="1" t="s">
        <v>11</v>
      </c>
      <c r="C7" s="3">
        <v>15.26</v>
      </c>
      <c r="D7" s="2" t="s">
        <v>11</v>
      </c>
      <c r="E7">
        <v>7.83</v>
      </c>
      <c r="F7">
        <v>0.28000000000000003</v>
      </c>
      <c r="G7" s="1" t="s">
        <v>11</v>
      </c>
    </row>
    <row r="8" spans="1:7" x14ac:dyDescent="0.3">
      <c r="A8" t="s">
        <v>5</v>
      </c>
      <c r="B8" s="1" t="s">
        <v>11</v>
      </c>
      <c r="C8" s="3">
        <v>6</v>
      </c>
      <c r="D8" s="2" t="s">
        <v>11</v>
      </c>
      <c r="E8">
        <v>4</v>
      </c>
      <c r="F8">
        <v>3</v>
      </c>
      <c r="G8" s="1" t="s">
        <v>11</v>
      </c>
    </row>
    <row r="9" spans="1:7" x14ac:dyDescent="0.3">
      <c r="A9" t="s">
        <v>10</v>
      </c>
      <c r="B9" s="1" t="s">
        <v>11</v>
      </c>
      <c r="C9" s="3">
        <v>0.96</v>
      </c>
      <c r="D9" s="2" t="s">
        <v>11</v>
      </c>
      <c r="E9">
        <v>1.53</v>
      </c>
      <c r="F9">
        <v>17.73</v>
      </c>
      <c r="G9" s="1" t="s">
        <v>11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5BBD5-0723-41D4-90F3-7A96661EB37D}">
  <dimension ref="A1:G12"/>
  <sheetViews>
    <sheetView workbookViewId="0">
      <selection activeCell="H8" sqref="H8"/>
    </sheetView>
  </sheetViews>
  <sheetFormatPr defaultRowHeight="14.4" x14ac:dyDescent="0.3"/>
  <cols>
    <col min="1" max="1" width="19.44140625" bestFit="1" customWidth="1"/>
  </cols>
  <sheetData>
    <row r="1" spans="1:7" x14ac:dyDescent="0.3"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</row>
    <row r="2" spans="1:7" x14ac:dyDescent="0.3">
      <c r="A2" s="21" t="s">
        <v>14</v>
      </c>
      <c r="B2" s="21"/>
      <c r="C2" s="21"/>
      <c r="D2" s="21"/>
      <c r="E2" s="21"/>
      <c r="F2" s="21"/>
      <c r="G2" s="21"/>
    </row>
    <row r="3" spans="1:7" x14ac:dyDescent="0.3">
      <c r="A3" t="s">
        <v>13</v>
      </c>
      <c r="B3" s="4" t="s">
        <v>18</v>
      </c>
      <c r="C3" s="1">
        <v>8</v>
      </c>
      <c r="D3" s="5" t="s">
        <v>18</v>
      </c>
      <c r="E3" s="1">
        <v>40</v>
      </c>
      <c r="F3" s="1">
        <v>25</v>
      </c>
      <c r="G3" s="1">
        <v>5</v>
      </c>
    </row>
    <row r="4" spans="1:7" x14ac:dyDescent="0.3">
      <c r="A4" t="s">
        <v>19</v>
      </c>
      <c r="B4" s="4" t="s">
        <v>18</v>
      </c>
      <c r="C4" s="1">
        <v>8</v>
      </c>
      <c r="D4" s="5" t="s">
        <v>18</v>
      </c>
      <c r="E4" s="1">
        <v>29</v>
      </c>
      <c r="F4" s="1">
        <v>10</v>
      </c>
      <c r="G4" s="1">
        <v>5</v>
      </c>
    </row>
    <row r="5" spans="1:7" x14ac:dyDescent="0.3">
      <c r="A5" t="s">
        <v>15</v>
      </c>
      <c r="B5" s="4" t="s">
        <v>18</v>
      </c>
      <c r="C5" s="5" t="s">
        <v>18</v>
      </c>
      <c r="D5" s="1">
        <v>121</v>
      </c>
      <c r="E5" s="1">
        <v>121</v>
      </c>
      <c r="F5" s="5" t="s">
        <v>18</v>
      </c>
      <c r="G5" s="5" t="s">
        <v>18</v>
      </c>
    </row>
    <row r="6" spans="1:7" x14ac:dyDescent="0.3">
      <c r="A6" t="s">
        <v>20</v>
      </c>
      <c r="B6" s="4" t="s">
        <v>18</v>
      </c>
      <c r="C6" s="5" t="s">
        <v>18</v>
      </c>
      <c r="D6" s="1">
        <v>12</v>
      </c>
      <c r="E6" s="1">
        <v>12</v>
      </c>
      <c r="F6" s="5" t="s">
        <v>18</v>
      </c>
      <c r="G6" s="5" t="s">
        <v>18</v>
      </c>
    </row>
    <row r="7" spans="1:7" x14ac:dyDescent="0.3">
      <c r="A7" t="s">
        <v>16</v>
      </c>
      <c r="B7" s="4" t="s">
        <v>18</v>
      </c>
      <c r="C7" s="1">
        <v>6</v>
      </c>
      <c r="D7" s="1">
        <v>12</v>
      </c>
      <c r="E7" s="1">
        <v>37</v>
      </c>
      <c r="F7" s="1">
        <v>10</v>
      </c>
      <c r="G7" s="1">
        <v>5</v>
      </c>
    </row>
    <row r="8" spans="1:7" x14ac:dyDescent="0.3">
      <c r="A8" s="21" t="s">
        <v>17</v>
      </c>
      <c r="B8" s="21"/>
      <c r="C8" s="21"/>
      <c r="D8" s="21"/>
      <c r="E8" s="21"/>
      <c r="F8" s="21"/>
      <c r="G8" s="21"/>
    </row>
    <row r="9" spans="1:7" x14ac:dyDescent="0.3">
      <c r="A9" t="s">
        <v>13</v>
      </c>
      <c r="B9" s="4" t="s">
        <v>18</v>
      </c>
      <c r="C9" s="1">
        <v>8</v>
      </c>
      <c r="D9" s="5" t="s">
        <v>18</v>
      </c>
      <c r="E9" s="1">
        <v>5</v>
      </c>
      <c r="F9" s="1">
        <v>3</v>
      </c>
      <c r="G9" s="5" t="s">
        <v>18</v>
      </c>
    </row>
    <row r="10" spans="1:7" x14ac:dyDescent="0.3">
      <c r="A10" t="s">
        <v>19</v>
      </c>
      <c r="B10" s="4" t="s">
        <v>18</v>
      </c>
      <c r="C10" s="1">
        <v>8</v>
      </c>
      <c r="D10" s="5" t="s">
        <v>18</v>
      </c>
      <c r="E10" s="1">
        <v>4</v>
      </c>
      <c r="F10" s="1">
        <v>3</v>
      </c>
      <c r="G10" s="5" t="s">
        <v>18</v>
      </c>
    </row>
    <row r="11" spans="1:7" x14ac:dyDescent="0.3">
      <c r="A11" t="s">
        <v>16</v>
      </c>
      <c r="B11" s="4" t="s">
        <v>18</v>
      </c>
      <c r="C11" s="1">
        <v>6</v>
      </c>
      <c r="D11" s="5" t="s">
        <v>18</v>
      </c>
      <c r="E11" s="1">
        <v>4</v>
      </c>
      <c r="F11" s="1">
        <v>3</v>
      </c>
      <c r="G11" s="5" t="s">
        <v>18</v>
      </c>
    </row>
    <row r="12" spans="1:7" x14ac:dyDescent="0.3">
      <c r="F12" s="1"/>
      <c r="G12" s="1"/>
    </row>
  </sheetData>
  <mergeCells count="2">
    <mergeCell ref="A2:G2"/>
    <mergeCell ref="A8:G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12B8-9383-4714-BC97-ED13236D7219}">
  <dimension ref="A1:E8"/>
  <sheetViews>
    <sheetView workbookViewId="0">
      <selection activeCell="E6" sqref="E6"/>
    </sheetView>
  </sheetViews>
  <sheetFormatPr defaultRowHeight="14.4" x14ac:dyDescent="0.3"/>
  <cols>
    <col min="1" max="1" width="21.33203125" bestFit="1" customWidth="1"/>
  </cols>
  <sheetData>
    <row r="1" spans="1:5" ht="15" thickBot="1" x14ac:dyDescent="0.35">
      <c r="B1" s="22" t="s">
        <v>1</v>
      </c>
      <c r="C1" s="23"/>
      <c r="D1" t="s">
        <v>103</v>
      </c>
    </row>
    <row r="2" spans="1:5" ht="15" thickBot="1" x14ac:dyDescent="0.35">
      <c r="A2" s="9" t="s">
        <v>78</v>
      </c>
      <c r="B2" s="13">
        <v>2019</v>
      </c>
      <c r="C2" s="14">
        <v>2021</v>
      </c>
    </row>
    <row r="3" spans="1:5" x14ac:dyDescent="0.3">
      <c r="A3" s="10" t="s">
        <v>72</v>
      </c>
      <c r="B3" s="19">
        <v>0.4</v>
      </c>
      <c r="C3" s="19">
        <v>0.7</v>
      </c>
      <c r="D3" s="19">
        <f>$B3-$C3</f>
        <v>-0.29999999999999993</v>
      </c>
    </row>
    <row r="4" spans="1:5" x14ac:dyDescent="0.3">
      <c r="A4" s="11" t="s">
        <v>73</v>
      </c>
      <c r="B4" s="19">
        <v>4.0999999999999996</v>
      </c>
      <c r="C4" s="19">
        <v>-0.2</v>
      </c>
      <c r="D4" s="19">
        <f t="shared" ref="D4:D8" si="0">$B4-$C4</f>
        <v>4.3</v>
      </c>
    </row>
    <row r="5" spans="1:5" x14ac:dyDescent="0.3">
      <c r="A5" s="11" t="s">
        <v>74</v>
      </c>
      <c r="B5">
        <v>8.6999999999999993</v>
      </c>
      <c r="C5">
        <v>1</v>
      </c>
      <c r="D5">
        <f t="shared" si="0"/>
        <v>7.6999999999999993</v>
      </c>
      <c r="E5">
        <f>AVERAGE(D5:D8)</f>
        <v>8.2250000000000014</v>
      </c>
    </row>
    <row r="6" spans="1:5" x14ac:dyDescent="0.3">
      <c r="A6" s="11" t="s">
        <v>76</v>
      </c>
      <c r="B6">
        <v>10.9</v>
      </c>
      <c r="C6">
        <v>3.5</v>
      </c>
      <c r="D6">
        <f t="shared" si="0"/>
        <v>7.4</v>
      </c>
    </row>
    <row r="7" spans="1:5" x14ac:dyDescent="0.3">
      <c r="A7" s="11" t="s">
        <v>77</v>
      </c>
      <c r="B7">
        <v>11.1</v>
      </c>
      <c r="C7">
        <v>4.0999999999999996</v>
      </c>
      <c r="D7">
        <f t="shared" si="0"/>
        <v>7</v>
      </c>
    </row>
    <row r="8" spans="1:5" ht="15" thickBot="1" x14ac:dyDescent="0.35">
      <c r="A8" s="12" t="s">
        <v>75</v>
      </c>
      <c r="B8">
        <v>12.8</v>
      </c>
      <c r="C8">
        <v>2</v>
      </c>
      <c r="D8">
        <f t="shared" si="0"/>
        <v>10.8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F15C4-2ABE-401A-A7E7-6DA16866D145}">
  <dimension ref="A1:M13"/>
  <sheetViews>
    <sheetView tabSelected="1" zoomScale="74" workbookViewId="0">
      <selection activeCell="M12" sqref="M12"/>
    </sheetView>
  </sheetViews>
  <sheetFormatPr defaultRowHeight="14.4" x14ac:dyDescent="0.3"/>
  <cols>
    <col min="1" max="1" width="16.77734375" bestFit="1" customWidth="1"/>
    <col min="3" max="3" width="16" bestFit="1" customWidth="1"/>
    <col min="4" max="4" width="14.77734375" bestFit="1" customWidth="1"/>
    <col min="8" max="8" width="9.33203125" bestFit="1" customWidth="1"/>
    <col min="10" max="10" width="25.6640625" bestFit="1" customWidth="1"/>
    <col min="11" max="11" width="24.5546875" bestFit="1" customWidth="1"/>
    <col min="12" max="12" width="24.77734375" customWidth="1"/>
    <col min="13" max="13" width="14.77734375" customWidth="1"/>
  </cols>
  <sheetData>
    <row r="1" spans="1:13" ht="15" thickBot="1" x14ac:dyDescent="0.35">
      <c r="A1" s="15" t="s">
        <v>79</v>
      </c>
      <c r="B1" s="16" t="s">
        <v>84</v>
      </c>
      <c r="C1" s="16" t="s">
        <v>85</v>
      </c>
      <c r="D1" s="16" t="s">
        <v>86</v>
      </c>
      <c r="E1" s="16" t="s">
        <v>87</v>
      </c>
      <c r="F1" s="16" t="s">
        <v>88</v>
      </c>
      <c r="G1" s="16" t="s">
        <v>89</v>
      </c>
      <c r="H1" s="16" t="s">
        <v>90</v>
      </c>
      <c r="I1" s="16" t="s">
        <v>91</v>
      </c>
      <c r="J1" s="18" t="s">
        <v>98</v>
      </c>
      <c r="K1" s="17" t="s">
        <v>102</v>
      </c>
      <c r="L1" s="24" t="s">
        <v>114</v>
      </c>
      <c r="M1" s="24" t="s">
        <v>115</v>
      </c>
    </row>
    <row r="2" spans="1:13" x14ac:dyDescent="0.3">
      <c r="A2" t="s">
        <v>94</v>
      </c>
      <c r="B2">
        <v>9</v>
      </c>
      <c r="C2" t="s">
        <v>95</v>
      </c>
      <c r="D2" t="s">
        <v>82</v>
      </c>
      <c r="E2">
        <v>70.878769000000005</v>
      </c>
      <c r="F2">
        <v>-153.906792</v>
      </c>
      <c r="G2" t="s">
        <v>83</v>
      </c>
      <c r="H2">
        <v>1</v>
      </c>
      <c r="I2">
        <v>1</v>
      </c>
      <c r="J2">
        <v>4.5</v>
      </c>
      <c r="K2">
        <v>0.3</v>
      </c>
      <c r="L2" s="25">
        <v>0.63431999999999999</v>
      </c>
      <c r="M2" s="25">
        <v>0.33010299999999998</v>
      </c>
    </row>
    <row r="3" spans="1:13" x14ac:dyDescent="0.3">
      <c r="A3" t="s">
        <v>96</v>
      </c>
      <c r="B3">
        <v>23</v>
      </c>
      <c r="C3" t="s">
        <v>97</v>
      </c>
      <c r="D3" t="s">
        <v>82</v>
      </c>
      <c r="E3">
        <v>70.881637999999995</v>
      </c>
      <c r="F3">
        <v>-153.85055299999999</v>
      </c>
      <c r="G3" t="s">
        <v>83</v>
      </c>
      <c r="H3">
        <v>235</v>
      </c>
      <c r="I3">
        <v>15</v>
      </c>
      <c r="J3">
        <v>5.7</v>
      </c>
      <c r="K3">
        <v>0.9</v>
      </c>
      <c r="L3" s="25">
        <v>0.97899599999999998</v>
      </c>
      <c r="M3" s="25">
        <v>0.57900200000000002</v>
      </c>
    </row>
    <row r="4" spans="1:13" x14ac:dyDescent="0.3">
      <c r="A4" t="s">
        <v>93</v>
      </c>
      <c r="B4">
        <v>23</v>
      </c>
      <c r="C4" t="s">
        <v>81</v>
      </c>
      <c r="D4" t="s">
        <v>82</v>
      </c>
      <c r="E4">
        <v>70.754256999999996</v>
      </c>
      <c r="F4">
        <v>-153.748977</v>
      </c>
      <c r="G4" t="s">
        <v>83</v>
      </c>
      <c r="H4">
        <v>285</v>
      </c>
      <c r="I4">
        <v>15</v>
      </c>
      <c r="J4">
        <v>8.3000000000000007</v>
      </c>
      <c r="K4">
        <v>3</v>
      </c>
      <c r="L4" s="25">
        <v>0.79219600000000001</v>
      </c>
      <c r="M4" s="25">
        <v>0.63818799999999998</v>
      </c>
    </row>
    <row r="5" spans="1:13" x14ac:dyDescent="0.3">
      <c r="A5" t="s">
        <v>100</v>
      </c>
      <c r="B5">
        <v>17</v>
      </c>
      <c r="C5" t="s">
        <v>81</v>
      </c>
      <c r="D5" t="s">
        <v>82</v>
      </c>
      <c r="E5">
        <v>70.883964000000006</v>
      </c>
      <c r="F5">
        <v>-153.727487</v>
      </c>
      <c r="G5" t="s">
        <v>83</v>
      </c>
      <c r="H5">
        <v>305</v>
      </c>
      <c r="I5">
        <v>20</v>
      </c>
      <c r="J5">
        <v>5.2</v>
      </c>
      <c r="K5">
        <v>1</v>
      </c>
      <c r="L5" s="25">
        <v>0.81395200000000001</v>
      </c>
      <c r="M5" s="25">
        <v>0.46308199999999999</v>
      </c>
    </row>
    <row r="6" spans="1:13" x14ac:dyDescent="0.3">
      <c r="A6" t="s">
        <v>101</v>
      </c>
      <c r="B6">
        <v>13</v>
      </c>
      <c r="C6" t="s">
        <v>97</v>
      </c>
      <c r="D6" t="s">
        <v>82</v>
      </c>
      <c r="E6">
        <v>70.882463999999999</v>
      </c>
      <c r="F6">
        <v>-153.446583</v>
      </c>
      <c r="G6" t="s">
        <v>83</v>
      </c>
      <c r="H6">
        <v>705</v>
      </c>
      <c r="I6">
        <v>15</v>
      </c>
      <c r="J6">
        <v>6.8</v>
      </c>
      <c r="K6">
        <v>1.2</v>
      </c>
      <c r="L6" s="25">
        <v>0.80269999999999997</v>
      </c>
      <c r="M6" s="25">
        <v>0.524648</v>
      </c>
    </row>
    <row r="7" spans="1:13" x14ac:dyDescent="0.3">
      <c r="A7" t="s">
        <v>80</v>
      </c>
      <c r="B7">
        <v>30</v>
      </c>
      <c r="C7" t="s">
        <v>81</v>
      </c>
      <c r="D7" t="s">
        <v>82</v>
      </c>
      <c r="E7">
        <v>70.748589999999993</v>
      </c>
      <c r="F7">
        <v>-153.952</v>
      </c>
      <c r="G7" t="s">
        <v>83</v>
      </c>
      <c r="H7">
        <v>850</v>
      </c>
      <c r="I7">
        <v>15</v>
      </c>
      <c r="J7">
        <v>6.8</v>
      </c>
      <c r="K7">
        <v>2.9</v>
      </c>
      <c r="L7" s="25">
        <v>0.84271799999999997</v>
      </c>
      <c r="M7" s="25">
        <v>0.34269300000000003</v>
      </c>
    </row>
    <row r="8" spans="1:13" x14ac:dyDescent="0.3">
      <c r="A8" t="s">
        <v>99</v>
      </c>
      <c r="B8">
        <v>23</v>
      </c>
      <c r="C8" t="s">
        <v>95</v>
      </c>
      <c r="D8" t="s">
        <v>82</v>
      </c>
      <c r="E8">
        <v>70.881642999999997</v>
      </c>
      <c r="F8">
        <v>-153.81123299999999</v>
      </c>
      <c r="G8" t="s">
        <v>83</v>
      </c>
      <c r="H8">
        <v>1470</v>
      </c>
      <c r="I8">
        <v>20</v>
      </c>
      <c r="J8">
        <v>6.1</v>
      </c>
      <c r="K8">
        <v>1.6</v>
      </c>
      <c r="L8" s="25">
        <v>0.63564299999999996</v>
      </c>
      <c r="M8" s="25">
        <v>0.33698600000000001</v>
      </c>
    </row>
    <row r="9" spans="1:13" x14ac:dyDescent="0.3">
      <c r="A9" t="s">
        <v>92</v>
      </c>
      <c r="B9">
        <v>38</v>
      </c>
      <c r="C9" t="s">
        <v>81</v>
      </c>
      <c r="D9" t="s">
        <v>82</v>
      </c>
      <c r="E9">
        <v>70.746572</v>
      </c>
      <c r="F9">
        <v>-153.919557</v>
      </c>
      <c r="G9" t="s">
        <v>83</v>
      </c>
      <c r="H9">
        <v>2270</v>
      </c>
      <c r="I9">
        <v>15</v>
      </c>
      <c r="J9">
        <v>5</v>
      </c>
      <c r="K9">
        <v>2.1</v>
      </c>
      <c r="L9" s="25">
        <v>0.46011800000000003</v>
      </c>
      <c r="M9" s="25">
        <v>0.26873200000000003</v>
      </c>
    </row>
    <row r="11" spans="1:13" x14ac:dyDescent="0.3">
      <c r="A11" t="s">
        <v>111</v>
      </c>
      <c r="J11">
        <f>AVERAGE(J2:J9)</f>
        <v>6.05</v>
      </c>
      <c r="K11">
        <f>AVERAGE(K2:K9)</f>
        <v>1.625</v>
      </c>
    </row>
    <row r="12" spans="1:13" x14ac:dyDescent="0.3">
      <c r="A12" t="s">
        <v>112</v>
      </c>
      <c r="J12">
        <f>AVERAGE(J4,J7,J9)</f>
        <v>6.7</v>
      </c>
      <c r="K12">
        <f>AVERAGE(K4,K7,K9)</f>
        <v>2.6666666666666665</v>
      </c>
    </row>
    <row r="13" spans="1:13" x14ac:dyDescent="0.3">
      <c r="A13" t="s">
        <v>113</v>
      </c>
      <c r="J13">
        <f>AVERAGE(J2,J3,J5,J6,J8)</f>
        <v>5.6599999999999993</v>
      </c>
      <c r="K13">
        <f>AVERAGE(K2,K3,K5,K6,K8)</f>
        <v>1</v>
      </c>
    </row>
  </sheetData>
  <sortState xmlns:xlrd2="http://schemas.microsoft.com/office/spreadsheetml/2017/richdata2" ref="A2:J9">
    <sortCondition ref="H1:H9"/>
  </sortState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D1681-D2CD-4561-BD67-58B5F6A4E1BF}">
  <dimension ref="A1:E6"/>
  <sheetViews>
    <sheetView zoomScale="85" zoomScaleNormal="85" workbookViewId="0">
      <selection activeCell="D2" sqref="D2:D6"/>
    </sheetView>
  </sheetViews>
  <sheetFormatPr defaultRowHeight="14.4" x14ac:dyDescent="0.3"/>
  <cols>
    <col min="1" max="1" width="8.88671875" customWidth="1"/>
    <col min="2" max="2" width="11.109375" bestFit="1" customWidth="1"/>
    <col min="3" max="3" width="10.77734375" bestFit="1" customWidth="1"/>
    <col min="5" max="5" width="17.77734375" bestFit="1" customWidth="1"/>
  </cols>
  <sheetData>
    <row r="1" spans="1:5" x14ac:dyDescent="0.3">
      <c r="B1" t="s">
        <v>104</v>
      </c>
      <c r="C1" t="s">
        <v>105</v>
      </c>
      <c r="D1" t="s">
        <v>106</v>
      </c>
      <c r="E1" t="s">
        <v>107</v>
      </c>
    </row>
    <row r="2" spans="1:5" x14ac:dyDescent="0.3">
      <c r="A2">
        <v>2019</v>
      </c>
      <c r="B2">
        <v>491.93</v>
      </c>
      <c r="C2">
        <v>0.96</v>
      </c>
      <c r="D2">
        <v>613</v>
      </c>
      <c r="E2">
        <v>184</v>
      </c>
    </row>
    <row r="3" spans="1:5" x14ac:dyDescent="0.3">
      <c r="A3">
        <v>2020</v>
      </c>
      <c r="B3">
        <v>31.24</v>
      </c>
      <c r="C3" s="1" t="s">
        <v>11</v>
      </c>
      <c r="D3">
        <v>305</v>
      </c>
      <c r="E3">
        <v>151</v>
      </c>
    </row>
    <row r="4" spans="1:5" x14ac:dyDescent="0.3">
      <c r="A4">
        <v>2021</v>
      </c>
      <c r="B4">
        <v>18.62</v>
      </c>
      <c r="C4">
        <v>1.53</v>
      </c>
      <c r="D4">
        <v>278</v>
      </c>
      <c r="E4">
        <v>98</v>
      </c>
    </row>
    <row r="5" spans="1:5" x14ac:dyDescent="0.3">
      <c r="A5">
        <v>2022</v>
      </c>
      <c r="B5">
        <v>11.82</v>
      </c>
      <c r="C5">
        <v>17.73</v>
      </c>
      <c r="D5">
        <v>326</v>
      </c>
      <c r="E5">
        <v>134</v>
      </c>
    </row>
    <row r="6" spans="1:5" x14ac:dyDescent="0.3">
      <c r="A6">
        <v>2023</v>
      </c>
      <c r="B6">
        <v>303.98</v>
      </c>
      <c r="C6" s="1" t="s">
        <v>11</v>
      </c>
      <c r="D6">
        <v>517</v>
      </c>
      <c r="E6">
        <v>139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21557-DC7E-4A6F-8F8A-F10950C41832}">
  <dimension ref="A1:E7"/>
  <sheetViews>
    <sheetView workbookViewId="0">
      <selection activeCell="E8" sqref="E8"/>
    </sheetView>
  </sheetViews>
  <sheetFormatPr defaultRowHeight="14.4" x14ac:dyDescent="0.3"/>
  <cols>
    <col min="2" max="2" width="17.33203125" bestFit="1" customWidth="1"/>
    <col min="3" max="3" width="17.33203125" customWidth="1"/>
  </cols>
  <sheetData>
    <row r="1" spans="1:5" x14ac:dyDescent="0.3">
      <c r="A1" t="s">
        <v>0</v>
      </c>
      <c r="B1" t="s">
        <v>108</v>
      </c>
      <c r="C1" t="s">
        <v>109</v>
      </c>
      <c r="D1" t="s">
        <v>106</v>
      </c>
      <c r="E1" t="s">
        <v>110</v>
      </c>
    </row>
    <row r="2" spans="1:5" x14ac:dyDescent="0.3">
      <c r="A2">
        <v>2018</v>
      </c>
      <c r="B2" s="6">
        <v>2.2999999999999998</v>
      </c>
      <c r="C2" s="7">
        <v>2.6</v>
      </c>
      <c r="D2">
        <v>310</v>
      </c>
      <c r="E2">
        <v>16.79</v>
      </c>
    </row>
    <row r="3" spans="1:5" x14ac:dyDescent="0.3">
      <c r="A3">
        <v>2019</v>
      </c>
      <c r="B3" s="6">
        <v>5.3</v>
      </c>
      <c r="C3" s="6">
        <v>11.2</v>
      </c>
      <c r="D3">
        <v>613</v>
      </c>
      <c r="E3">
        <v>25.88</v>
      </c>
    </row>
    <row r="4" spans="1:5" x14ac:dyDescent="0.3">
      <c r="A4">
        <v>2020</v>
      </c>
      <c r="B4" s="6">
        <v>3.2</v>
      </c>
      <c r="C4" s="6">
        <v>5.3</v>
      </c>
      <c r="D4">
        <v>305</v>
      </c>
      <c r="E4">
        <v>15.77</v>
      </c>
    </row>
    <row r="5" spans="1:5" x14ac:dyDescent="0.3">
      <c r="A5">
        <v>2021</v>
      </c>
      <c r="B5" s="6">
        <v>1.8</v>
      </c>
      <c r="C5" s="6">
        <v>1.2</v>
      </c>
      <c r="D5">
        <v>278</v>
      </c>
      <c r="E5">
        <v>19.88</v>
      </c>
    </row>
    <row r="6" spans="1:5" x14ac:dyDescent="0.3">
      <c r="A6">
        <v>2022</v>
      </c>
      <c r="B6" s="6">
        <v>3.2</v>
      </c>
      <c r="C6" s="6">
        <v>5.0999999999999996</v>
      </c>
      <c r="D6">
        <v>326</v>
      </c>
      <c r="E6">
        <v>16.54</v>
      </c>
    </row>
    <row r="7" spans="1:5" x14ac:dyDescent="0.3">
      <c r="A7">
        <v>2023</v>
      </c>
      <c r="B7" s="6">
        <v>5.5</v>
      </c>
      <c r="C7" s="6">
        <v>11.8</v>
      </c>
      <c r="D7">
        <v>517</v>
      </c>
      <c r="E7">
        <v>22.17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ReSALT_values</vt:lpstr>
      <vt:lpstr>Validation</vt:lpstr>
      <vt:lpstr>Spat_avg</vt:lpstr>
      <vt:lpstr>TimeSeries</vt:lpstr>
      <vt:lpstr>TL_Age</vt:lpstr>
      <vt:lpstr>Mean r2</vt:lpstr>
      <vt:lpstr>ADDT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Nguyen</dc:creator>
  <cp:lastModifiedBy>Nguyen, Alexander</cp:lastModifiedBy>
  <cp:lastPrinted>2026-03-16T18:07:04Z</cp:lastPrinted>
  <dcterms:created xsi:type="dcterms:W3CDTF">2015-06-05T18:17:20Z</dcterms:created>
  <dcterms:modified xsi:type="dcterms:W3CDTF">2026-06-14T11:08:48Z</dcterms:modified>
</cp:coreProperties>
</file>