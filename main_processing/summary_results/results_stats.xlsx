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exa\Documents\GitHub\EIC_manuscript\main_processing\summary_results\"/>
    </mc:Choice>
  </mc:AlternateContent>
  <xr:revisionPtr revIDLastSave="0" documentId="13_ncr:1_{D13C6E23-9027-4A0D-82BB-F4FDD40B11E5}" xr6:coauthVersionLast="47" xr6:coauthVersionMax="47" xr10:uidLastSave="{00000000-0000-0000-0000-000000000000}"/>
  <bookViews>
    <workbookView xWindow="1392" yWindow="4104" windowWidth="17280" windowHeight="9960" tabRatio="673" activeTab="1" xr2:uid="{00000000-000D-0000-FFFF-FFFF00000000}"/>
  </bookViews>
  <sheets>
    <sheet name="ReSALT_values" sheetId="1" r:id="rId1"/>
    <sheet name="ReSALT_uncertainty" sheetId="12" r:id="rId2"/>
    <sheet name="Validation" sheetId="2" r:id="rId3"/>
    <sheet name="Spat_avg" sheetId="3" r:id="rId4"/>
    <sheet name="TimeSeries" sheetId="4" r:id="rId5"/>
    <sheet name="TL_Age" sheetId="5" r:id="rId6"/>
    <sheet name="TL_Age_EIC" sheetId="10" r:id="rId7"/>
    <sheet name="Mean r2" sheetId="6" r:id="rId8"/>
    <sheet name="ADDT" sheetId="7" r:id="rId9"/>
    <sheet name="geomorphE19" sheetId="9" r:id="rId10"/>
    <sheet name="geomorphEIC19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1" l="1"/>
  <c r="M11" i="11"/>
  <c r="M14" i="11"/>
  <c r="M13" i="11"/>
  <c r="M3" i="11"/>
  <c r="M5" i="11"/>
  <c r="M6" i="11"/>
  <c r="M4" i="11"/>
  <c r="M8" i="11"/>
  <c r="M2" i="11"/>
  <c r="M17" i="11"/>
  <c r="M15" i="11"/>
  <c r="M16" i="11"/>
  <c r="M7" i="11"/>
  <c r="M10" i="11"/>
  <c r="M12" i="11"/>
  <c r="N2" i="9"/>
  <c r="M13" i="10"/>
  <c r="L13" i="10"/>
  <c r="M12" i="10"/>
  <c r="L12" i="10"/>
  <c r="M11" i="10"/>
  <c r="L11" i="10"/>
  <c r="K13" i="10"/>
  <c r="K12" i="10"/>
  <c r="K11" i="10"/>
  <c r="J13" i="10"/>
  <c r="J12" i="10"/>
  <c r="J11" i="10"/>
  <c r="M13" i="5"/>
  <c r="L13" i="5"/>
  <c r="M12" i="5"/>
  <c r="L12" i="5"/>
  <c r="M11" i="5"/>
  <c r="L11" i="5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K13" i="5"/>
  <c r="J13" i="5"/>
  <c r="K12" i="5"/>
  <c r="J12" i="5"/>
  <c r="K11" i="5"/>
  <c r="J11" i="5"/>
  <c r="E5" i="4"/>
  <c r="D4" i="4"/>
  <c r="D5" i="4"/>
  <c r="D6" i="4"/>
  <c r="D7" i="4"/>
  <c r="D8" i="4"/>
  <c r="D3" i="4"/>
</calcChain>
</file>

<file path=xl/sharedStrings.xml><?xml version="1.0" encoding="utf-8"?>
<sst xmlns="http://schemas.openxmlformats.org/spreadsheetml/2006/main" count="346" uniqueCount="188">
  <si>
    <t>Year</t>
  </si>
  <si>
    <t>E (cm)</t>
  </si>
  <si>
    <t>ALT (cm)</t>
  </si>
  <si>
    <t>EIC_thick (cm)</t>
  </si>
  <si>
    <t>EIC (%)</t>
  </si>
  <si>
    <t>Number of pixels</t>
  </si>
  <si>
    <t>In Situ ALT (cm)</t>
  </si>
  <si>
    <t>Coincident ReSALT (cm)</t>
  </si>
  <si>
    <t>r-squared (-)</t>
  </si>
  <si>
    <t>In Situ EIC (%)</t>
  </si>
  <si>
    <t>r-squared  (-)</t>
  </si>
  <si>
    <t>-</t>
  </si>
  <si>
    <t>Coincident EIC (%)</t>
  </si>
  <si>
    <t>Cores</t>
  </si>
  <si>
    <t>ALT</t>
  </si>
  <si>
    <t>Probes</t>
  </si>
  <si>
    <t>Final</t>
  </si>
  <si>
    <t>EIC</t>
  </si>
  <si>
    <t>--</t>
  </si>
  <si>
    <t>Total Averaged Cores</t>
  </si>
  <si>
    <t>Total Averaged Probes</t>
  </si>
  <si>
    <t>5th - 95th range</t>
  </si>
  <si>
    <t>Median</t>
  </si>
  <si>
    <t>Q1 - Q3</t>
  </si>
  <si>
    <t>2.7 - 10.4</t>
  </si>
  <si>
    <t>4.1 - 7</t>
  </si>
  <si>
    <t>40.4 - 231.3</t>
  </si>
  <si>
    <t>72.8 - 144.7</t>
  </si>
  <si>
    <t>1.5 - 9.2</t>
  </si>
  <si>
    <t>2.8 - 5.7</t>
  </si>
  <si>
    <t>3.8 - 32.6</t>
  </si>
  <si>
    <t>7.5 - 17.7</t>
  </si>
  <si>
    <t>0.8 - 4.4</t>
  </si>
  <si>
    <t>1.7 - 3</t>
  </si>
  <si>
    <t>9.4 - 80.6</t>
  </si>
  <si>
    <t>21.3 - 46.9</t>
  </si>
  <si>
    <t>0 - 3.2</t>
  </si>
  <si>
    <t>0.2 - 1.7</t>
  </si>
  <si>
    <t>0 - 12.8</t>
  </si>
  <si>
    <t>0.6 - 5.2</t>
  </si>
  <si>
    <t>1.2 - 5.9</t>
  </si>
  <si>
    <t>2.5 - 4.1</t>
  </si>
  <si>
    <t>15.3 - 116.6</t>
  </si>
  <si>
    <t>35.3 - 71.3</t>
  </si>
  <si>
    <t>0 - 4.6</t>
  </si>
  <si>
    <t>1 - 2.8</t>
  </si>
  <si>
    <t>0 - 17.6</t>
  </si>
  <si>
    <t>2.7 - 9.2</t>
  </si>
  <si>
    <t>0.3 - 4.2</t>
  </si>
  <si>
    <t>1.1 - 2.5</t>
  </si>
  <si>
    <t>4.3 - 73.3</t>
  </si>
  <si>
    <t>13.6 - 36.6</t>
  </si>
  <si>
    <t>0 - 3</t>
  </si>
  <si>
    <t>0 - 1.2</t>
  </si>
  <si>
    <t>0 - 10.6</t>
  </si>
  <si>
    <t>0 - 3.9</t>
  </si>
  <si>
    <t>1.1 - 6.1</t>
  </si>
  <si>
    <t>2.2 - 4.2</t>
  </si>
  <si>
    <t>13.6 - 123.8</t>
  </si>
  <si>
    <t>31.1 - 74.3</t>
  </si>
  <si>
    <t>0 - 4.9</t>
  </si>
  <si>
    <t>0.9 - 2.9</t>
  </si>
  <si>
    <t>0 - 18.5</t>
  </si>
  <si>
    <t>2.4 - 9.1</t>
  </si>
  <si>
    <t>2.9 - 9.3</t>
  </si>
  <si>
    <t>4.5 - 6.8</t>
  </si>
  <si>
    <t>45.3 - 204.7</t>
  </si>
  <si>
    <t>81.1 - 140.4</t>
  </si>
  <si>
    <t>1.6 - 7.9</t>
  </si>
  <si>
    <t>3.1 - 5.4</t>
  </si>
  <si>
    <t>4 - 30.1</t>
  </si>
  <si>
    <t>8.1 - 17.3</t>
  </si>
  <si>
    <t>Teshekpuk Lake Margin</t>
  </si>
  <si>
    <t>Coherent Drew Point</t>
  </si>
  <si>
    <t>Drew Point</t>
  </si>
  <si>
    <t>Boat Creek</t>
  </si>
  <si>
    <t>McLeod Point</t>
  </si>
  <si>
    <t>Old Basin</t>
  </si>
  <si>
    <t>Pixel Location</t>
  </si>
  <si>
    <t>Sample_basin_ID</t>
  </si>
  <si>
    <t>T5-CHRONO-CPC-7</t>
  </si>
  <si>
    <t>moss</t>
  </si>
  <si>
    <t>marine silt</t>
  </si>
  <si>
    <t>drainage</t>
  </si>
  <si>
    <t>Depth_cm</t>
  </si>
  <si>
    <t>material_category</t>
  </si>
  <si>
    <t>surficial_geology</t>
  </si>
  <si>
    <t>LAT</t>
  </si>
  <si>
    <t>LON</t>
  </si>
  <si>
    <t>Feature</t>
  </si>
  <si>
    <t>Age_uncal</t>
  </si>
  <si>
    <t>uncert</t>
  </si>
  <si>
    <t>T6-CHRONO-CPC-8</t>
  </si>
  <si>
    <t>T3-CHRONO-CPC-6</t>
  </si>
  <si>
    <t>TESH-DLB-PH-8</t>
  </si>
  <si>
    <t>grass</t>
  </si>
  <si>
    <t>TESH-DLB-PH-9</t>
  </si>
  <si>
    <t>mixed</t>
  </si>
  <si>
    <t>Med_Subsidence_2019_cm</t>
  </si>
  <si>
    <t>TESH-DLB-PH-10</t>
  </si>
  <si>
    <t>TESH-DLB-PH-11</t>
  </si>
  <si>
    <t>TESH-DLB-PH-12</t>
  </si>
  <si>
    <t>Med_Subsidence_2021_cm</t>
  </si>
  <si>
    <t>change</t>
  </si>
  <si>
    <t>ALT mean r2</t>
  </si>
  <si>
    <t>EIC mean r2</t>
  </si>
  <si>
    <t>ADDT</t>
  </si>
  <si>
    <t>Thaw Season Length</t>
  </si>
  <si>
    <t>Median_Subsidence</t>
  </si>
  <si>
    <t>Median_EIC_percent</t>
  </si>
  <si>
    <t>Precip</t>
  </si>
  <si>
    <t>Averages</t>
  </si>
  <si>
    <t>Inland Average</t>
  </si>
  <si>
    <t>Coastal Average</t>
  </si>
  <si>
    <t>Mean_E_Uncert_2019</t>
  </si>
  <si>
    <t>Mean_E_Uncert_2021</t>
  </si>
  <si>
    <t>Coalescent low-center polygons</t>
  </si>
  <si>
    <t>Low-center polygons</t>
  </si>
  <si>
    <t>Nonpatterned Drained Thaw Lake Basins </t>
  </si>
  <si>
    <t>Drained slope</t>
  </si>
  <si>
    <t>Flat-center polygons</t>
  </si>
  <si>
    <t>High-center polygons </t>
  </si>
  <si>
    <t>Sandy barrens</t>
  </si>
  <si>
    <t>Sand dunes</t>
  </si>
  <si>
    <t>Coastal saline waters</t>
  </si>
  <si>
    <t>Rivers</t>
  </si>
  <si>
    <t>Urban (i.e. towns and roads)</t>
  </si>
  <si>
    <t>Riparian corridors</t>
  </si>
  <si>
    <t>Ponds</t>
  </si>
  <si>
    <t>Small lakes</t>
  </si>
  <si>
    <t>Medium lakes</t>
  </si>
  <si>
    <t>Large lakes</t>
  </si>
  <si>
    <t>Value</t>
  </si>
  <si>
    <t>class_name</t>
  </si>
  <si>
    <t>COUNT</t>
  </si>
  <si>
    <t>AREA</t>
  </si>
  <si>
    <t>MIN</t>
  </si>
  <si>
    <t>OBJECTID *</t>
  </si>
  <si>
    <t>MAX</t>
  </si>
  <si>
    <t>RANGE</t>
  </si>
  <si>
    <t>MEAN</t>
  </si>
  <si>
    <t>STD</t>
  </si>
  <si>
    <t>SUM</t>
  </si>
  <si>
    <t>MEDIAN</t>
  </si>
  <si>
    <t>PCT90</t>
  </si>
  <si>
    <t>PercentTOTAL</t>
  </si>
  <si>
    <t>Med_EIC_2019</t>
  </si>
  <si>
    <t>Avg</t>
  </si>
  <si>
    <t>Inland Avg</t>
  </si>
  <si>
    <t>Coastal Avg</t>
  </si>
  <si>
    <t>Med_EIC_2021</t>
  </si>
  <si>
    <t>Med_EIC_Uncert_2019</t>
  </si>
  <si>
    <t>Med_EIC_Uncert_2021</t>
  </si>
  <si>
    <t>0.4 - 1.9</t>
  </si>
  <si>
    <t>0.7 - 1.2</t>
  </si>
  <si>
    <t>4.6  - 47.7</t>
  </si>
  <si>
    <t>10.2 - 26.9</t>
  </si>
  <si>
    <t>1.7 - 7.7</t>
  </si>
  <si>
    <t>1.8 - 5.7</t>
  </si>
  <si>
    <t>2.5 - 4</t>
  </si>
  <si>
    <t>37.5 -145.2</t>
  </si>
  <si>
    <t>61.2 - 102.3</t>
  </si>
  <si>
    <t>4.9 -21.1</t>
  </si>
  <si>
    <t>6.8 -12.6</t>
  </si>
  <si>
    <t>0.7 - 2.4</t>
  </si>
  <si>
    <t>1 - 1.6</t>
  </si>
  <si>
    <t>10.1 - 61.5</t>
  </si>
  <si>
    <t>19.2 - 39</t>
  </si>
  <si>
    <t>2 - 9.5</t>
  </si>
  <si>
    <t>2.7 - 5.5</t>
  </si>
  <si>
    <t>0.4 - 2.1</t>
  </si>
  <si>
    <t>0.6 - 1.2</t>
  </si>
  <si>
    <t>5.4 - 53.9</t>
  </si>
  <si>
    <t>7.8 - 24.3</t>
  </si>
  <si>
    <t>1.8 - 9.2</t>
  </si>
  <si>
    <t>2.4 - 4.8</t>
  </si>
  <si>
    <t>0.5 - 3.7</t>
  </si>
  <si>
    <t>1 - 2.3</t>
  </si>
  <si>
    <t>6.6 - 95.8</t>
  </si>
  <si>
    <t>19.3 - 58.3</t>
  </si>
  <si>
    <t>2 - 14.1</t>
  </si>
  <si>
    <t>3.4 - 7.6</t>
  </si>
  <si>
    <t>1.5 - 4.5</t>
  </si>
  <si>
    <t>2.2 - 3.3</t>
  </si>
  <si>
    <t>33.9 - 114.6</t>
  </si>
  <si>
    <t>55.7 - 83.4</t>
  </si>
  <si>
    <t>4.2 - 17.5</t>
  </si>
  <si>
    <t>5.9 - 10.6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</si>
</sst>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Subsidence</a:t>
            </a:r>
            <a:r>
              <a:rPr lang="en-US" baseline="0"/>
              <a:t> vs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Teshekpuk Lake Margin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TimeSeries!$B$3:$C$3</c:f>
              <c:numCache>
                <c:formatCode>General</c:formatCode>
                <c:ptCount val="2"/>
                <c:pt idx="0">
                  <c:v>0.4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4-4C9B-8613-BB5E7732EEF1}"/>
            </c:ext>
          </c:extLst>
        </c:ser>
        <c:ser>
          <c:idx val="1"/>
          <c:order val="1"/>
          <c:tx>
            <c:v>Coherent Drew 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TimeSeries!$B$4:$C$4</c:f>
              <c:numCache>
                <c:formatCode>General</c:formatCode>
                <c:ptCount val="2"/>
                <c:pt idx="0">
                  <c:v>4.0999999999999996</c:v>
                </c:pt>
                <c:pt idx="1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F4-4C9B-8613-BB5E7732EEF1}"/>
            </c:ext>
          </c:extLst>
        </c:ser>
        <c:ser>
          <c:idx val="2"/>
          <c:order val="2"/>
          <c:tx>
            <c:v>Drew 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TimeSeries!$B$5:$C$5</c:f>
              <c:numCache>
                <c:formatCode>General</c:formatCode>
                <c:ptCount val="2"/>
                <c:pt idx="0">
                  <c:v>8.6999999999999993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F4-4C9B-8613-BB5E7732EEF1}"/>
            </c:ext>
          </c:extLst>
        </c:ser>
        <c:ser>
          <c:idx val="3"/>
          <c:order val="3"/>
          <c:tx>
            <c:v>McLeod 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TimeSeries!$B$6:$C$6</c:f>
              <c:numCache>
                <c:formatCode>General</c:formatCode>
                <c:ptCount val="2"/>
                <c:pt idx="0">
                  <c:v>10.9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F4-4C9B-8613-BB5E7732EEF1}"/>
            </c:ext>
          </c:extLst>
        </c:ser>
        <c:ser>
          <c:idx val="4"/>
          <c:order val="4"/>
          <c:tx>
            <c:v>Old Basin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TimeSeries!$B$7:$C$7</c:f>
              <c:numCache>
                <c:formatCode>General</c:formatCode>
                <c:ptCount val="2"/>
                <c:pt idx="0">
                  <c:v>11.1</c:v>
                </c:pt>
                <c:pt idx="1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F4-4C9B-8613-BB5E7732EEF1}"/>
            </c:ext>
          </c:extLst>
        </c:ser>
        <c:ser>
          <c:idx val="5"/>
          <c:order val="5"/>
          <c:tx>
            <c:v>Boat Creek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TimeSeries!$B$2:$C$2</c:f>
              <c:numCache>
                <c:formatCode>General</c:formatCode>
                <c:ptCount val="2"/>
                <c:pt idx="0">
                  <c:v>2019</c:v>
                </c:pt>
                <c:pt idx="1">
                  <c:v>2021</c:v>
                </c:pt>
              </c:numCache>
            </c:numRef>
          </c:xVal>
          <c:yVal>
            <c:numRef>
              <c:f>TimeSeries!$B$8:$C$8</c:f>
              <c:numCache>
                <c:formatCode>General</c:formatCode>
                <c:ptCount val="2"/>
                <c:pt idx="0">
                  <c:v>12.8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F4-4C9B-8613-BB5E7732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672464"/>
        <c:axId val="1112668144"/>
      </c:scatterChart>
      <c:valAx>
        <c:axId val="111267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68144"/>
        <c:crosses val="autoZero"/>
        <c:crossBetween val="midCat"/>
      </c:valAx>
      <c:valAx>
        <c:axId val="11126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InSAR-derived</a:t>
            </a:r>
            <a:r>
              <a:rPr lang="en-US" baseline="0"/>
              <a:t> Seasonal Subsidence vs Thermokarst Lake Drainage Age for 2019 and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Inland_2019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18583498332525E-2"/>
                  <c:y val="-0.194367312985045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(TL_Age!$H$4,TL_Age!$H$7,TL_Age!$H$9)</c:f>
              <c:numCache>
                <c:formatCode>General</c:formatCode>
                <c:ptCount val="3"/>
                <c:pt idx="0">
                  <c:v>285</c:v>
                </c:pt>
                <c:pt idx="1">
                  <c:v>850</c:v>
                </c:pt>
                <c:pt idx="2">
                  <c:v>2270</c:v>
                </c:pt>
              </c:numCache>
            </c:numRef>
          </c:xVal>
          <c:yVal>
            <c:numRef>
              <c:f>(TL_Age!$J$4,TL_Age!$J$7,TL_Age!$J$9)</c:f>
              <c:numCache>
                <c:formatCode>General</c:formatCode>
                <c:ptCount val="3"/>
                <c:pt idx="0">
                  <c:v>8.3000000000000007</c:v>
                </c:pt>
                <c:pt idx="1">
                  <c:v>6.8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5-47DF-8156-7B22F94AF7C2}"/>
            </c:ext>
          </c:extLst>
        </c:ser>
        <c:ser>
          <c:idx val="1"/>
          <c:order val="1"/>
          <c:tx>
            <c:v>Coastal_2019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899618856443776"/>
                  <c:y val="0.115886413473640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(TL_Age!$H$2,TL_Age!$H$3,TL_Age!$H$5,TL_Age!$H$6,TL_Age!$H$8)</c:f>
              <c:numCache>
                <c:formatCode>General</c:formatCode>
                <c:ptCount val="5"/>
                <c:pt idx="0">
                  <c:v>1</c:v>
                </c:pt>
                <c:pt idx="1">
                  <c:v>235</c:v>
                </c:pt>
                <c:pt idx="2">
                  <c:v>305</c:v>
                </c:pt>
                <c:pt idx="3">
                  <c:v>705</c:v>
                </c:pt>
                <c:pt idx="4">
                  <c:v>1470</c:v>
                </c:pt>
              </c:numCache>
            </c:numRef>
          </c:xVal>
          <c:yVal>
            <c:numRef>
              <c:f>(TL_Age!$J$2,TL_Age!$J$3,TL_Age!$J$5,TL_Age!$J$6,TL_Age!$J$8)</c:f>
              <c:numCache>
                <c:formatCode>General</c:formatCode>
                <c:ptCount val="5"/>
                <c:pt idx="0">
                  <c:v>4.5</c:v>
                </c:pt>
                <c:pt idx="1">
                  <c:v>5.7</c:v>
                </c:pt>
                <c:pt idx="2">
                  <c:v>5.2</c:v>
                </c:pt>
                <c:pt idx="3">
                  <c:v>6.8</c:v>
                </c:pt>
                <c:pt idx="4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5-47DF-8156-7B22F94AF7C2}"/>
            </c:ext>
          </c:extLst>
        </c:ser>
        <c:ser>
          <c:idx val="2"/>
          <c:order val="2"/>
          <c:tx>
            <c:v>Inland_2021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543806920746674E-2"/>
                  <c:y val="-0.10080432974203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(TL_Age!$H$4,TL_Age!$H$7,TL_Age!$H$9)</c:f>
              <c:numCache>
                <c:formatCode>General</c:formatCode>
                <c:ptCount val="3"/>
                <c:pt idx="0">
                  <c:v>285</c:v>
                </c:pt>
                <c:pt idx="1">
                  <c:v>850</c:v>
                </c:pt>
                <c:pt idx="2">
                  <c:v>2270</c:v>
                </c:pt>
              </c:numCache>
            </c:numRef>
          </c:xVal>
          <c:yVal>
            <c:numRef>
              <c:f>(TL_Age!$K$4,TL_Age!$K$7,TL_Age!$K$9)</c:f>
              <c:numCache>
                <c:formatCode>General</c:formatCode>
                <c:ptCount val="3"/>
                <c:pt idx="0">
                  <c:v>3</c:v>
                </c:pt>
                <c:pt idx="1">
                  <c:v>2.9</c:v>
                </c:pt>
                <c:pt idx="2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55-47DF-8156-7B22F94AF7C2}"/>
            </c:ext>
          </c:extLst>
        </c:ser>
        <c:ser>
          <c:idx val="3"/>
          <c:order val="3"/>
          <c:tx>
            <c:v>Coastal_2021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4306922060379774E-3"/>
                  <c:y val="7.5514081604890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(TL_Age!$H$2,TL_Age!$H$3,TL_Age!$H$5,TL_Age!$H$6,TL_Age!$H$8)</c:f>
              <c:numCache>
                <c:formatCode>General</c:formatCode>
                <c:ptCount val="5"/>
                <c:pt idx="0">
                  <c:v>1</c:v>
                </c:pt>
                <c:pt idx="1">
                  <c:v>235</c:v>
                </c:pt>
                <c:pt idx="2">
                  <c:v>305</c:v>
                </c:pt>
                <c:pt idx="3">
                  <c:v>705</c:v>
                </c:pt>
                <c:pt idx="4">
                  <c:v>1470</c:v>
                </c:pt>
              </c:numCache>
            </c:numRef>
          </c:xVal>
          <c:yVal>
            <c:numRef>
              <c:f>(TL_Age!$K$2,TL_Age!$K$3,TL_Age!$K$5,TL_Age!$K$6,TL_Age!$K$8)</c:f>
              <c:numCache>
                <c:formatCode>General</c:formatCode>
                <c:ptCount val="5"/>
                <c:pt idx="0">
                  <c:v>0.3</c:v>
                </c:pt>
                <c:pt idx="1">
                  <c:v>0.9</c:v>
                </c:pt>
                <c:pt idx="2">
                  <c:v>1</c:v>
                </c:pt>
                <c:pt idx="3">
                  <c:v>1.2</c:v>
                </c:pt>
                <c:pt idx="4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55-47DF-8156-7B22F94A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985232"/>
        <c:axId val="1845988592"/>
      </c:scatterChart>
      <c:valAx>
        <c:axId val="184598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Drainage</a:t>
                </a:r>
                <a:r>
                  <a:rPr lang="en-US" baseline="0"/>
                  <a:t>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88592"/>
        <c:crosses val="autoZero"/>
        <c:crossBetween val="midCat"/>
      </c:valAx>
      <c:valAx>
        <c:axId val="18459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InSAR-derived</a:t>
                </a:r>
                <a:r>
                  <a:rPr lang="en-US" baseline="0"/>
                  <a:t> Seasonal Subsidence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 Mean r^2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942388451443571"/>
                  <c:y val="4.55635753864100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'Mean r2'!$D$2:$D$6</c:f>
              <c:numCache>
                <c:formatCode>General</c:formatCode>
                <c:ptCount val="5"/>
                <c:pt idx="0">
                  <c:v>613</c:v>
                </c:pt>
                <c:pt idx="1">
                  <c:v>305</c:v>
                </c:pt>
                <c:pt idx="2">
                  <c:v>278</c:v>
                </c:pt>
                <c:pt idx="3">
                  <c:v>326</c:v>
                </c:pt>
                <c:pt idx="4">
                  <c:v>517</c:v>
                </c:pt>
              </c:numCache>
            </c:numRef>
          </c:xVal>
          <c:yVal>
            <c:numRef>
              <c:f>'Mean r2'!$B$2:$B$6</c:f>
              <c:numCache>
                <c:formatCode>General</c:formatCode>
                <c:ptCount val="5"/>
                <c:pt idx="0">
                  <c:v>491.93</c:v>
                </c:pt>
                <c:pt idx="1">
                  <c:v>31.24</c:v>
                </c:pt>
                <c:pt idx="2">
                  <c:v>18.62</c:v>
                </c:pt>
                <c:pt idx="3">
                  <c:v>11.82</c:v>
                </c:pt>
                <c:pt idx="4">
                  <c:v>303.98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BF-4289-AC15-ABC43BBD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7903"/>
        <c:axId val="2460838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EIC Mean r^2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('Mean r2'!$D$2,'Mean r2'!$D$4,'Mean r2'!$D$5)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613</c:v>
                      </c:pt>
                      <c:pt idx="1">
                        <c:v>278</c:v>
                      </c:pt>
                      <c:pt idx="2">
                        <c:v>326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('Mean r2'!$C$2,'Mean r2'!$C$4,'Mean r2'!$C$5)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0.96</c:v>
                      </c:pt>
                      <c:pt idx="1">
                        <c:v>1.53</c:v>
                      </c:pt>
                      <c:pt idx="2">
                        <c:v>17.73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4BF-4289-AC15-ABC43BBD3B6B}"/>
                  </c:ext>
                </c:extLst>
              </c15:ser>
            </c15:filteredScatterSeries>
          </c:ext>
        </c:extLst>
      </c:scatterChart>
      <c:valAx>
        <c:axId val="2460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ADDT</a:t>
                </a:r>
                <a:r>
                  <a:rPr lang="en-US" baseline="0"/>
                  <a:t> (oC 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8383"/>
        <c:crosses val="autoZero"/>
        <c:crossBetween val="midCat"/>
      </c:valAx>
      <c:valAx>
        <c:axId val="246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</a:t>
                </a:r>
                <a:r>
                  <a:rPr lang="en-US" baseline="0"/>
                  <a:t> Mean r^2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EIC Mean r^2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('Mean r2'!$D$2,'Mean r2'!$D$4,'Mean r2'!$D$5)</c:f>
              <c:numCache>
                <c:formatCode>General</c:formatCode>
                <c:ptCount val="3"/>
                <c:pt idx="0">
                  <c:v>613</c:v>
                </c:pt>
                <c:pt idx="1">
                  <c:v>278</c:v>
                </c:pt>
                <c:pt idx="2">
                  <c:v>326</c:v>
                </c:pt>
              </c:numCache>
              <c:extLst xmlns:c15="http://schemas.microsoft.com/office/drawing/2012/chart"/>
            </c:numRef>
          </c:xVal>
          <c:yVal>
            <c:numRef>
              <c:f>('Mean r2'!$C$2,'Mean r2'!$C$4,'Mean r2'!$C$5)</c:f>
              <c:numCache>
                <c:formatCode>General</c:formatCode>
                <c:ptCount val="3"/>
                <c:pt idx="0">
                  <c:v>0.96</c:v>
                </c:pt>
                <c:pt idx="1">
                  <c:v>1.53</c:v>
                </c:pt>
                <c:pt idx="2">
                  <c:v>17.73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9005-4B26-887C-4EBA11804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7903"/>
        <c:axId val="246083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ALT Mean r^2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0.12942388451443571"/>
                        <c:y val="4.5563575386410031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'Mean r2'!$D$2:$D$6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613</c:v>
                      </c:pt>
                      <c:pt idx="1">
                        <c:v>305</c:v>
                      </c:pt>
                      <c:pt idx="2">
                        <c:v>278</c:v>
                      </c:pt>
                      <c:pt idx="3">
                        <c:v>326</c:v>
                      </c:pt>
                      <c:pt idx="4">
                        <c:v>517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'Mean r2'!$B$2:$B$6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491.93</c:v>
                      </c:pt>
                      <c:pt idx="1">
                        <c:v>31.24</c:v>
                      </c:pt>
                      <c:pt idx="2">
                        <c:v>18.62</c:v>
                      </c:pt>
                      <c:pt idx="3">
                        <c:v>11.82</c:v>
                      </c:pt>
                      <c:pt idx="4">
                        <c:v>303.98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005-4B26-887C-4EBA11804238}"/>
                  </c:ext>
                </c:extLst>
              </c15:ser>
            </c15:filteredScatterSeries>
          </c:ext>
        </c:extLst>
      </c:scatterChart>
      <c:valAx>
        <c:axId val="2460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ADDT</a:t>
                </a:r>
                <a:r>
                  <a:rPr lang="en-US" baseline="0"/>
                  <a:t> (oC 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8383"/>
        <c:crosses val="autoZero"/>
        <c:crossBetween val="midCat"/>
      </c:valAx>
      <c:valAx>
        <c:axId val="246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EIC Mean r^2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</a:t>
            </a:r>
            <a:r>
              <a:rPr lang="en-US" baseline="0"/>
              <a:t> mean r^2 vs EIC mean r^2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2005934369914313E-2"/>
                  <c:y val="-0.18601470730951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('Mean r2'!$B$2,'Mean r2'!$B$4,'Mean r2'!$B$5)</c:f>
              <c:numCache>
                <c:formatCode>General</c:formatCode>
                <c:ptCount val="3"/>
                <c:pt idx="0">
                  <c:v>491.93</c:v>
                </c:pt>
                <c:pt idx="1">
                  <c:v>18.62</c:v>
                </c:pt>
                <c:pt idx="2">
                  <c:v>11.82</c:v>
                </c:pt>
              </c:numCache>
            </c:numRef>
          </c:xVal>
          <c:yVal>
            <c:numRef>
              <c:f>('Mean r2'!$C$2,'Mean r2'!$C$4,'Mean r2'!$C$5)</c:f>
              <c:numCache>
                <c:formatCode>General</c:formatCode>
                <c:ptCount val="3"/>
                <c:pt idx="0">
                  <c:v>0.96</c:v>
                </c:pt>
                <c:pt idx="1">
                  <c:v>1.53</c:v>
                </c:pt>
                <c:pt idx="2">
                  <c:v>17.73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3-4288-917D-C9178B04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827007"/>
        <c:axId val="356828927"/>
      </c:scatterChart>
      <c:valAx>
        <c:axId val="35682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</a:t>
                </a:r>
                <a:r>
                  <a:rPr lang="en-US" baseline="0"/>
                  <a:t> mean r^2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28927"/>
        <c:crosses val="autoZero"/>
        <c:crossBetween val="midCat"/>
      </c:valAx>
      <c:valAx>
        <c:axId val="3568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EIC</a:t>
                </a:r>
                <a:r>
                  <a:rPr lang="en-US" baseline="0"/>
                  <a:t> mean r^2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2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9</xdr:row>
      <xdr:rowOff>80010</xdr:rowOff>
    </xdr:from>
    <xdr:to>
      <xdr:col>6</xdr:col>
      <xdr:colOff>320040</xdr:colOff>
      <xdr:row>24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052E9-7304-E968-3955-48B7BBE6D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244364</xdr:colOff>
      <xdr:row>14</xdr:row>
      <xdr:rowOff>147026</xdr:rowOff>
    </xdr:from>
    <xdr:to>
      <xdr:col>10</xdr:col>
      <xdr:colOff>1324437</xdr:colOff>
      <xdr:row>36</xdr:row>
      <xdr:rowOff>68271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B4948-556F-AC2A-0AE2-A258C41ED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6</xdr:row>
      <xdr:rowOff>140970</xdr:rowOff>
    </xdr:from>
    <xdr:to>
      <xdr:col>7</xdr:col>
      <xdr:colOff>304800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85CEF-63F8-F862-7174-C6887A7DC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6</xdr:row>
      <xdr:rowOff>144780</xdr:rowOff>
    </xdr:from>
    <xdr:to>
      <xdr:col>15</xdr:col>
      <xdr:colOff>220980</xdr:colOff>
      <xdr:row>21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3183F-E0C5-4AC1-85DE-0E2AA53BB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</xdr:colOff>
      <xdr:row>22</xdr:row>
      <xdr:rowOff>87630</xdr:rowOff>
    </xdr:from>
    <xdr:to>
      <xdr:col>7</xdr:col>
      <xdr:colOff>83820</xdr:colOff>
      <xdr:row>37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02B629-351D-052B-7448-FC74A5F15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L3" sqref="L3:L8"/>
    </sheetView>
  </sheetViews>
  <sheetFormatPr defaultRowHeight="14.4" x14ac:dyDescent="0.3"/>
  <cols>
    <col min="2" max="2" width="22" bestFit="1" customWidth="1"/>
    <col min="3" max="3" width="11.44140625" bestFit="1" customWidth="1"/>
    <col min="4" max="4" width="11.44140625" customWidth="1"/>
    <col min="5" max="5" width="28.109375" bestFit="1" customWidth="1"/>
    <col min="6" max="7" width="14.5546875" bestFit="1" customWidth="1"/>
    <col min="8" max="8" width="22" bestFit="1" customWidth="1"/>
    <col min="9" max="10" width="11.44140625" bestFit="1" customWidth="1"/>
    <col min="11" max="11" width="24" bestFit="1" customWidth="1"/>
    <col min="12" max="12" width="13.5546875" bestFit="1" customWidth="1"/>
    <col min="13" max="13" width="12.44140625" bestFit="1" customWidth="1"/>
  </cols>
  <sheetData>
    <row r="1" spans="1:13" x14ac:dyDescent="0.3">
      <c r="A1" t="s">
        <v>0</v>
      </c>
      <c r="B1" s="21" t="s">
        <v>1</v>
      </c>
      <c r="C1" s="21"/>
      <c r="D1" s="1"/>
      <c r="E1" s="21" t="s">
        <v>2</v>
      </c>
      <c r="F1" s="21"/>
      <c r="G1" s="21"/>
      <c r="H1" s="21" t="s">
        <v>3</v>
      </c>
      <c r="I1" s="21"/>
      <c r="J1" s="21"/>
      <c r="K1" s="21" t="s">
        <v>4</v>
      </c>
      <c r="L1" s="21"/>
      <c r="M1" s="21"/>
    </row>
    <row r="2" spans="1:13" x14ac:dyDescent="0.3">
      <c r="B2" s="1" t="s">
        <v>21</v>
      </c>
      <c r="C2" s="1" t="s">
        <v>22</v>
      </c>
      <c r="D2" s="1" t="s">
        <v>23</v>
      </c>
      <c r="E2" s="1" t="s">
        <v>21</v>
      </c>
      <c r="F2" s="1" t="s">
        <v>22</v>
      </c>
      <c r="G2" s="1" t="s">
        <v>23</v>
      </c>
      <c r="H2" s="1" t="s">
        <v>21</v>
      </c>
      <c r="I2" s="1" t="s">
        <v>22</v>
      </c>
      <c r="J2" s="1" t="s">
        <v>23</v>
      </c>
      <c r="K2" s="1" t="s">
        <v>21</v>
      </c>
      <c r="L2" s="1" t="s">
        <v>22</v>
      </c>
      <c r="M2" s="1" t="s">
        <v>23</v>
      </c>
    </row>
    <row r="3" spans="1:13" x14ac:dyDescent="0.3">
      <c r="A3">
        <v>2018</v>
      </c>
      <c r="B3" s="6" t="s">
        <v>32</v>
      </c>
      <c r="C3" s="6">
        <v>2.2999999999999998</v>
      </c>
      <c r="D3" s="6" t="s">
        <v>33</v>
      </c>
      <c r="E3" s="6" t="s">
        <v>34</v>
      </c>
      <c r="F3" s="6">
        <v>32.299999999999997</v>
      </c>
      <c r="G3" s="6" t="s">
        <v>35</v>
      </c>
      <c r="H3" s="6" t="s">
        <v>36</v>
      </c>
      <c r="I3" s="6">
        <v>0.9</v>
      </c>
      <c r="J3" s="6" t="s">
        <v>37</v>
      </c>
      <c r="K3" s="6" t="s">
        <v>38</v>
      </c>
      <c r="L3" s="7">
        <v>2.6</v>
      </c>
      <c r="M3" s="6" t="s">
        <v>39</v>
      </c>
    </row>
    <row r="4" spans="1:13" x14ac:dyDescent="0.3">
      <c r="A4">
        <v>2019</v>
      </c>
      <c r="B4" s="6" t="s">
        <v>24</v>
      </c>
      <c r="C4" s="6">
        <v>5.3</v>
      </c>
      <c r="D4" s="6" t="s">
        <v>25</v>
      </c>
      <c r="E4" s="6" t="s">
        <v>26</v>
      </c>
      <c r="F4" s="6">
        <v>101.5</v>
      </c>
      <c r="G4" s="6" t="s">
        <v>27</v>
      </c>
      <c r="H4" s="6" t="s">
        <v>28</v>
      </c>
      <c r="I4" s="6">
        <v>3.9</v>
      </c>
      <c r="J4" s="6" t="s">
        <v>29</v>
      </c>
      <c r="K4" s="6" t="s">
        <v>30</v>
      </c>
      <c r="L4" s="6">
        <v>11.2</v>
      </c>
      <c r="M4" s="6" t="s">
        <v>31</v>
      </c>
    </row>
    <row r="5" spans="1:13" x14ac:dyDescent="0.3">
      <c r="A5">
        <v>2020</v>
      </c>
      <c r="B5" s="8" t="s">
        <v>40</v>
      </c>
      <c r="C5" s="6">
        <v>3.2</v>
      </c>
      <c r="D5" s="6" t="s">
        <v>41</v>
      </c>
      <c r="E5" s="6" t="s">
        <v>42</v>
      </c>
      <c r="F5" s="6">
        <v>51.4</v>
      </c>
      <c r="G5" s="6" t="s">
        <v>43</v>
      </c>
      <c r="H5" s="6" t="s">
        <v>44</v>
      </c>
      <c r="I5" s="6">
        <v>1.9</v>
      </c>
      <c r="J5" s="6" t="s">
        <v>45</v>
      </c>
      <c r="K5" s="6" t="s">
        <v>46</v>
      </c>
      <c r="L5" s="6">
        <v>5.3</v>
      </c>
      <c r="M5" s="6" t="s">
        <v>47</v>
      </c>
    </row>
    <row r="6" spans="1:13" x14ac:dyDescent="0.3">
      <c r="A6">
        <v>2021</v>
      </c>
      <c r="B6" s="6" t="s">
        <v>48</v>
      </c>
      <c r="C6" s="6">
        <v>1.8</v>
      </c>
      <c r="D6" s="6" t="s">
        <v>49</v>
      </c>
      <c r="E6" s="7" t="s">
        <v>50</v>
      </c>
      <c r="F6" s="6">
        <v>22.9</v>
      </c>
      <c r="G6" s="6" t="s">
        <v>51</v>
      </c>
      <c r="H6" s="6" t="s">
        <v>52</v>
      </c>
      <c r="I6" s="6">
        <v>0.4</v>
      </c>
      <c r="J6" s="6" t="s">
        <v>53</v>
      </c>
      <c r="K6" s="6" t="s">
        <v>54</v>
      </c>
      <c r="L6" s="6">
        <v>1.2</v>
      </c>
      <c r="M6" s="6" t="s">
        <v>55</v>
      </c>
    </row>
    <row r="7" spans="1:13" x14ac:dyDescent="0.3">
      <c r="A7">
        <v>2022</v>
      </c>
      <c r="B7" s="6" t="s">
        <v>56</v>
      </c>
      <c r="C7" s="6">
        <v>3.2</v>
      </c>
      <c r="D7" s="6" t="s">
        <v>57</v>
      </c>
      <c r="E7" s="6" t="s">
        <v>58</v>
      </c>
      <c r="F7" s="6">
        <v>50.1</v>
      </c>
      <c r="G7" s="6" t="s">
        <v>59</v>
      </c>
      <c r="H7" s="6" t="s">
        <v>60</v>
      </c>
      <c r="I7" s="6">
        <v>1.8</v>
      </c>
      <c r="J7" s="6" t="s">
        <v>61</v>
      </c>
      <c r="K7" s="6" t="s">
        <v>62</v>
      </c>
      <c r="L7" s="6">
        <v>5.0999999999999996</v>
      </c>
      <c r="M7" s="7" t="s">
        <v>63</v>
      </c>
    </row>
    <row r="8" spans="1:13" x14ac:dyDescent="0.3">
      <c r="A8">
        <v>2023</v>
      </c>
      <c r="B8" s="6" t="s">
        <v>64</v>
      </c>
      <c r="C8" s="6">
        <v>5.5</v>
      </c>
      <c r="D8" s="6" t="s">
        <v>65</v>
      </c>
      <c r="E8" s="7" t="s">
        <v>66</v>
      </c>
      <c r="F8" s="7">
        <v>107.8</v>
      </c>
      <c r="G8" s="7" t="s">
        <v>67</v>
      </c>
      <c r="H8" s="7" t="s">
        <v>68</v>
      </c>
      <c r="I8" s="6">
        <v>4.0999999999999996</v>
      </c>
      <c r="J8" s="6" t="s">
        <v>69</v>
      </c>
      <c r="K8" s="6" t="s">
        <v>70</v>
      </c>
      <c r="L8" s="6">
        <v>11.8</v>
      </c>
      <c r="M8" s="6" t="s">
        <v>71</v>
      </c>
    </row>
  </sheetData>
  <mergeCells count="4">
    <mergeCell ref="E1:G1"/>
    <mergeCell ref="B1:C1"/>
    <mergeCell ref="H1:J1"/>
    <mergeCell ref="K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63C7-3375-4C48-A3C1-4372A047B7FE}">
  <dimension ref="A1:J8"/>
  <sheetViews>
    <sheetView tabSelected="1" workbookViewId="0"/>
  </sheetViews>
  <sheetFormatPr defaultRowHeight="14.4" x14ac:dyDescent="0.3"/>
  <cols>
    <col min="2" max="2" width="22" bestFit="1" customWidth="1"/>
    <col min="3" max="3" width="11.44140625" bestFit="1" customWidth="1"/>
    <col min="4" max="4" width="11.44140625" customWidth="1"/>
    <col min="5" max="5" width="28.109375" bestFit="1" customWidth="1"/>
    <col min="6" max="7" width="14.5546875" bestFit="1" customWidth="1"/>
    <col min="8" max="8" width="24" bestFit="1" customWidth="1"/>
    <col min="9" max="9" width="13.5546875" bestFit="1" customWidth="1"/>
    <col min="10" max="10" width="12.44140625" bestFit="1" customWidth="1"/>
  </cols>
  <sheetData>
    <row r="1" spans="1:10" x14ac:dyDescent="0.3">
      <c r="A1" t="s">
        <v>0</v>
      </c>
      <c r="B1" s="21" t="s">
        <v>1</v>
      </c>
      <c r="C1" s="21"/>
      <c r="D1" s="1"/>
      <c r="E1" s="21" t="s">
        <v>2</v>
      </c>
      <c r="F1" s="21"/>
      <c r="G1" s="21"/>
      <c r="H1" s="21" t="s">
        <v>4</v>
      </c>
      <c r="I1" s="21"/>
      <c r="J1" s="21"/>
    </row>
    <row r="2" spans="1:10" x14ac:dyDescent="0.3">
      <c r="B2" s="1" t="s">
        <v>21</v>
      </c>
      <c r="C2" s="1" t="s">
        <v>22</v>
      </c>
      <c r="D2" s="1" t="s">
        <v>23</v>
      </c>
      <c r="E2" s="1" t="s">
        <v>21</v>
      </c>
      <c r="F2" s="1" t="s">
        <v>22</v>
      </c>
      <c r="G2" s="1" t="s">
        <v>23</v>
      </c>
      <c r="H2" s="1" t="s">
        <v>21</v>
      </c>
      <c r="I2" s="1" t="s">
        <v>22</v>
      </c>
      <c r="J2" s="1" t="s">
        <v>23</v>
      </c>
    </row>
    <row r="3" spans="1:10" x14ac:dyDescent="0.3">
      <c r="A3">
        <v>2018</v>
      </c>
      <c r="B3" s="6" t="s">
        <v>153</v>
      </c>
      <c r="C3" s="6">
        <v>0.9</v>
      </c>
      <c r="D3" s="6" t="s">
        <v>154</v>
      </c>
      <c r="E3" s="6" t="s">
        <v>155</v>
      </c>
      <c r="F3" s="6">
        <v>17.5</v>
      </c>
      <c r="G3" s="6" t="s">
        <v>156</v>
      </c>
      <c r="H3" s="6" t="s">
        <v>157</v>
      </c>
      <c r="I3" s="7">
        <v>2.9</v>
      </c>
      <c r="J3" s="6" t="s">
        <v>57</v>
      </c>
    </row>
    <row r="4" spans="1:10" x14ac:dyDescent="0.3">
      <c r="A4">
        <v>2019</v>
      </c>
      <c r="B4" s="6" t="s">
        <v>158</v>
      </c>
      <c r="C4" s="6">
        <v>3.1</v>
      </c>
      <c r="D4" s="6" t="s">
        <v>159</v>
      </c>
      <c r="E4" s="6" t="s">
        <v>160</v>
      </c>
      <c r="F4" s="6">
        <v>78.900000000000006</v>
      </c>
      <c r="G4" s="6" t="s">
        <v>161</v>
      </c>
      <c r="H4" s="6" t="s">
        <v>162</v>
      </c>
      <c r="I4" s="6">
        <v>9</v>
      </c>
      <c r="J4" s="6" t="s">
        <v>163</v>
      </c>
    </row>
    <row r="5" spans="1:10" x14ac:dyDescent="0.3">
      <c r="A5" s="25">
        <v>2020</v>
      </c>
      <c r="B5" s="8" t="s">
        <v>164</v>
      </c>
      <c r="C5" s="6">
        <v>1.2</v>
      </c>
      <c r="D5" s="6" t="s">
        <v>165</v>
      </c>
      <c r="E5" s="6" t="s">
        <v>166</v>
      </c>
      <c r="F5" s="6">
        <v>28</v>
      </c>
      <c r="G5" s="6" t="s">
        <v>167</v>
      </c>
      <c r="H5" s="6" t="s">
        <v>168</v>
      </c>
      <c r="I5" s="6">
        <v>3.7</v>
      </c>
      <c r="J5" s="6" t="s">
        <v>169</v>
      </c>
    </row>
    <row r="6" spans="1:10" x14ac:dyDescent="0.3">
      <c r="A6" s="25">
        <v>2021</v>
      </c>
      <c r="B6" s="6" t="s">
        <v>170</v>
      </c>
      <c r="C6" s="6">
        <v>0.8</v>
      </c>
      <c r="D6" s="6" t="s">
        <v>171</v>
      </c>
      <c r="E6" s="7" t="s">
        <v>172</v>
      </c>
      <c r="F6" s="6">
        <v>12.8</v>
      </c>
      <c r="G6" s="6" t="s">
        <v>173</v>
      </c>
      <c r="H6" s="6" t="s">
        <v>174</v>
      </c>
      <c r="I6" s="6">
        <v>3.3</v>
      </c>
      <c r="J6" s="6" t="s">
        <v>175</v>
      </c>
    </row>
    <row r="7" spans="1:10" x14ac:dyDescent="0.3">
      <c r="A7" s="25">
        <v>2022</v>
      </c>
      <c r="B7" s="6" t="s">
        <v>176</v>
      </c>
      <c r="C7" s="6">
        <v>1.6</v>
      </c>
      <c r="D7" s="6" t="s">
        <v>177</v>
      </c>
      <c r="E7" s="6" t="s">
        <v>178</v>
      </c>
      <c r="F7" s="6">
        <v>37.1</v>
      </c>
      <c r="G7" s="6" t="s">
        <v>179</v>
      </c>
      <c r="H7" s="6" t="s">
        <v>180</v>
      </c>
      <c r="I7" s="6">
        <v>5.0999999999999996</v>
      </c>
      <c r="J7" s="7" t="s">
        <v>181</v>
      </c>
    </row>
    <row r="8" spans="1:10" x14ac:dyDescent="0.3">
      <c r="A8" s="25">
        <v>2023</v>
      </c>
      <c r="B8" s="6" t="s">
        <v>182</v>
      </c>
      <c r="C8" s="6">
        <v>2.7</v>
      </c>
      <c r="D8" s="6" t="s">
        <v>183</v>
      </c>
      <c r="E8" s="7" t="s">
        <v>184</v>
      </c>
      <c r="F8" s="7">
        <v>68.2</v>
      </c>
      <c r="G8" s="7" t="s">
        <v>185</v>
      </c>
      <c r="H8" s="6" t="s">
        <v>186</v>
      </c>
      <c r="I8" s="6">
        <v>7.6</v>
      </c>
      <c r="J8" s="6" t="s">
        <v>187</v>
      </c>
    </row>
  </sheetData>
  <mergeCells count="3">
    <mergeCell ref="B1:C1"/>
    <mergeCell ref="E1:G1"/>
    <mergeCell ref="H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F117-B6A8-4FFE-91EB-60A6448A24F9}">
  <dimension ref="A1:G9"/>
  <sheetViews>
    <sheetView workbookViewId="0">
      <selection activeCell="E12" sqref="E12"/>
    </sheetView>
  </sheetViews>
  <sheetFormatPr defaultRowHeight="14.4" x14ac:dyDescent="0.3"/>
  <cols>
    <col min="1" max="1" width="20.33203125" bestFit="1" customWidth="1"/>
  </cols>
  <sheetData>
    <row r="1" spans="1:7" x14ac:dyDescent="0.3">
      <c r="A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 x14ac:dyDescent="0.3">
      <c r="A2" t="s">
        <v>6</v>
      </c>
      <c r="B2" s="1" t="s">
        <v>11</v>
      </c>
      <c r="C2" s="3">
        <v>42.83</v>
      </c>
      <c r="D2">
        <v>28.84</v>
      </c>
      <c r="E2">
        <v>33.729999999999997</v>
      </c>
      <c r="F2">
        <v>42.6</v>
      </c>
      <c r="G2">
        <v>41</v>
      </c>
    </row>
    <row r="3" spans="1:7" x14ac:dyDescent="0.3">
      <c r="A3" t="s">
        <v>7</v>
      </c>
      <c r="B3" s="1" t="s">
        <v>11</v>
      </c>
      <c r="C3" s="3">
        <v>137.04</v>
      </c>
      <c r="D3">
        <v>59.67</v>
      </c>
      <c r="E3">
        <v>24.82</v>
      </c>
      <c r="F3">
        <v>23.01</v>
      </c>
      <c r="G3">
        <v>122.43</v>
      </c>
    </row>
    <row r="4" spans="1:7" x14ac:dyDescent="0.3">
      <c r="A4" t="s">
        <v>5</v>
      </c>
      <c r="B4" s="1" t="s">
        <v>11</v>
      </c>
      <c r="C4">
        <v>6</v>
      </c>
      <c r="D4">
        <v>12</v>
      </c>
      <c r="E4" s="3">
        <v>37</v>
      </c>
      <c r="F4">
        <v>10</v>
      </c>
      <c r="G4">
        <v>5</v>
      </c>
    </row>
    <row r="5" spans="1:7" x14ac:dyDescent="0.3">
      <c r="A5" t="s">
        <v>8</v>
      </c>
      <c r="B5" s="1" t="s">
        <v>11</v>
      </c>
      <c r="C5">
        <v>491.93</v>
      </c>
      <c r="D5" s="3">
        <v>5.28</v>
      </c>
      <c r="E5">
        <v>18.62</v>
      </c>
      <c r="F5">
        <v>11.82</v>
      </c>
      <c r="G5">
        <v>303.98</v>
      </c>
    </row>
    <row r="6" spans="1:7" x14ac:dyDescent="0.3">
      <c r="A6" t="s">
        <v>9</v>
      </c>
      <c r="B6" s="1" t="s">
        <v>11</v>
      </c>
      <c r="C6" s="3">
        <v>15.83</v>
      </c>
      <c r="D6" s="2" t="s">
        <v>11</v>
      </c>
      <c r="E6">
        <v>3.28</v>
      </c>
      <c r="F6">
        <v>13.85</v>
      </c>
      <c r="G6" s="1" t="s">
        <v>11</v>
      </c>
    </row>
    <row r="7" spans="1:7" x14ac:dyDescent="0.3">
      <c r="A7" t="s">
        <v>12</v>
      </c>
      <c r="B7" s="1" t="s">
        <v>11</v>
      </c>
      <c r="C7" s="3">
        <v>15.26</v>
      </c>
      <c r="D7" s="2" t="s">
        <v>11</v>
      </c>
      <c r="E7">
        <v>7.83</v>
      </c>
      <c r="F7">
        <v>0.28000000000000003</v>
      </c>
      <c r="G7" s="1" t="s">
        <v>11</v>
      </c>
    </row>
    <row r="8" spans="1:7" x14ac:dyDescent="0.3">
      <c r="A8" t="s">
        <v>5</v>
      </c>
      <c r="B8" s="1" t="s">
        <v>11</v>
      </c>
      <c r="C8" s="3">
        <v>6</v>
      </c>
      <c r="D8" s="2" t="s">
        <v>11</v>
      </c>
      <c r="E8">
        <v>4</v>
      </c>
      <c r="F8">
        <v>3</v>
      </c>
      <c r="G8" s="1" t="s">
        <v>11</v>
      </c>
    </row>
    <row r="9" spans="1:7" x14ac:dyDescent="0.3">
      <c r="A9" t="s">
        <v>10</v>
      </c>
      <c r="B9" s="1" t="s">
        <v>11</v>
      </c>
      <c r="C9" s="3">
        <v>0.96</v>
      </c>
      <c r="D9" s="2" t="s">
        <v>11</v>
      </c>
      <c r="E9">
        <v>1.53</v>
      </c>
      <c r="F9">
        <v>17.73</v>
      </c>
      <c r="G9" s="1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BBD5-0723-41D4-90F3-7A96661EB37D}">
  <dimension ref="A1:G12"/>
  <sheetViews>
    <sheetView workbookViewId="0">
      <selection activeCell="H8" sqref="H8"/>
    </sheetView>
  </sheetViews>
  <sheetFormatPr defaultRowHeight="14.4" x14ac:dyDescent="0.3"/>
  <cols>
    <col min="1" max="1" width="19.44140625" bestFit="1" customWidth="1"/>
  </cols>
  <sheetData>
    <row r="1" spans="1:7" x14ac:dyDescent="0.3"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 x14ac:dyDescent="0.3">
      <c r="A2" s="22" t="s">
        <v>14</v>
      </c>
      <c r="B2" s="22"/>
      <c r="C2" s="22"/>
      <c r="D2" s="22"/>
      <c r="E2" s="22"/>
      <c r="F2" s="22"/>
      <c r="G2" s="22"/>
    </row>
    <row r="3" spans="1:7" x14ac:dyDescent="0.3">
      <c r="A3" t="s">
        <v>13</v>
      </c>
      <c r="B3" s="4" t="s">
        <v>18</v>
      </c>
      <c r="C3" s="1">
        <v>8</v>
      </c>
      <c r="D3" s="5" t="s">
        <v>18</v>
      </c>
      <c r="E3" s="1">
        <v>40</v>
      </c>
      <c r="F3" s="1">
        <v>25</v>
      </c>
      <c r="G3" s="1">
        <v>5</v>
      </c>
    </row>
    <row r="4" spans="1:7" x14ac:dyDescent="0.3">
      <c r="A4" t="s">
        <v>19</v>
      </c>
      <c r="B4" s="4" t="s">
        <v>18</v>
      </c>
      <c r="C4" s="1">
        <v>8</v>
      </c>
      <c r="D4" s="5" t="s">
        <v>18</v>
      </c>
      <c r="E4" s="1">
        <v>29</v>
      </c>
      <c r="F4" s="1">
        <v>10</v>
      </c>
      <c r="G4" s="1">
        <v>5</v>
      </c>
    </row>
    <row r="5" spans="1:7" x14ac:dyDescent="0.3">
      <c r="A5" t="s">
        <v>15</v>
      </c>
      <c r="B5" s="4" t="s">
        <v>18</v>
      </c>
      <c r="C5" s="5" t="s">
        <v>18</v>
      </c>
      <c r="D5" s="1">
        <v>121</v>
      </c>
      <c r="E5" s="1">
        <v>121</v>
      </c>
      <c r="F5" s="5" t="s">
        <v>18</v>
      </c>
      <c r="G5" s="5" t="s">
        <v>18</v>
      </c>
    </row>
    <row r="6" spans="1:7" x14ac:dyDescent="0.3">
      <c r="A6" t="s">
        <v>20</v>
      </c>
      <c r="B6" s="4" t="s">
        <v>18</v>
      </c>
      <c r="C6" s="5" t="s">
        <v>18</v>
      </c>
      <c r="D6" s="1">
        <v>12</v>
      </c>
      <c r="E6" s="1">
        <v>12</v>
      </c>
      <c r="F6" s="5" t="s">
        <v>18</v>
      </c>
      <c r="G6" s="5" t="s">
        <v>18</v>
      </c>
    </row>
    <row r="7" spans="1:7" x14ac:dyDescent="0.3">
      <c r="A7" t="s">
        <v>16</v>
      </c>
      <c r="B7" s="4" t="s">
        <v>18</v>
      </c>
      <c r="C7" s="1">
        <v>6</v>
      </c>
      <c r="D7" s="1">
        <v>12</v>
      </c>
      <c r="E7" s="1">
        <v>37</v>
      </c>
      <c r="F7" s="1">
        <v>10</v>
      </c>
      <c r="G7" s="1">
        <v>5</v>
      </c>
    </row>
    <row r="8" spans="1:7" x14ac:dyDescent="0.3">
      <c r="A8" s="22" t="s">
        <v>17</v>
      </c>
      <c r="B8" s="22"/>
      <c r="C8" s="22"/>
      <c r="D8" s="22"/>
      <c r="E8" s="22"/>
      <c r="F8" s="22"/>
      <c r="G8" s="22"/>
    </row>
    <row r="9" spans="1:7" x14ac:dyDescent="0.3">
      <c r="A9" t="s">
        <v>13</v>
      </c>
      <c r="B9" s="4" t="s">
        <v>18</v>
      </c>
      <c r="C9" s="1">
        <v>8</v>
      </c>
      <c r="D9" s="5" t="s">
        <v>18</v>
      </c>
      <c r="E9" s="1">
        <v>5</v>
      </c>
      <c r="F9" s="1">
        <v>3</v>
      </c>
      <c r="G9" s="5" t="s">
        <v>18</v>
      </c>
    </row>
    <row r="10" spans="1:7" x14ac:dyDescent="0.3">
      <c r="A10" t="s">
        <v>19</v>
      </c>
      <c r="B10" s="4" t="s">
        <v>18</v>
      </c>
      <c r="C10" s="1">
        <v>8</v>
      </c>
      <c r="D10" s="5" t="s">
        <v>18</v>
      </c>
      <c r="E10" s="1">
        <v>4</v>
      </c>
      <c r="F10" s="1">
        <v>3</v>
      </c>
      <c r="G10" s="5" t="s">
        <v>18</v>
      </c>
    </row>
    <row r="11" spans="1:7" x14ac:dyDescent="0.3">
      <c r="A11" t="s">
        <v>16</v>
      </c>
      <c r="B11" s="4" t="s">
        <v>18</v>
      </c>
      <c r="C11" s="1">
        <v>6</v>
      </c>
      <c r="D11" s="5" t="s">
        <v>18</v>
      </c>
      <c r="E11" s="1">
        <v>4</v>
      </c>
      <c r="F11" s="1">
        <v>3</v>
      </c>
      <c r="G11" s="5" t="s">
        <v>18</v>
      </c>
    </row>
    <row r="12" spans="1:7" x14ac:dyDescent="0.3">
      <c r="F12" s="1"/>
      <c r="G12" s="1"/>
    </row>
  </sheetData>
  <mergeCells count="2">
    <mergeCell ref="A2:G2"/>
    <mergeCell ref="A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12B8-9383-4714-BC97-ED13236D7219}">
  <dimension ref="A1:E8"/>
  <sheetViews>
    <sheetView workbookViewId="0">
      <selection activeCell="E6" sqref="E6"/>
    </sheetView>
  </sheetViews>
  <sheetFormatPr defaultRowHeight="14.4" x14ac:dyDescent="0.3"/>
  <cols>
    <col min="1" max="1" width="21.33203125" bestFit="1" customWidth="1"/>
  </cols>
  <sheetData>
    <row r="1" spans="1:5" ht="15" thickBot="1" x14ac:dyDescent="0.35">
      <c r="B1" s="23" t="s">
        <v>1</v>
      </c>
      <c r="C1" s="24"/>
      <c r="D1" t="s">
        <v>103</v>
      </c>
    </row>
    <row r="2" spans="1:5" ht="15" thickBot="1" x14ac:dyDescent="0.35">
      <c r="A2" s="9" t="s">
        <v>78</v>
      </c>
      <c r="B2" s="13">
        <v>2019</v>
      </c>
      <c r="C2" s="14">
        <v>2021</v>
      </c>
    </row>
    <row r="3" spans="1:5" x14ac:dyDescent="0.3">
      <c r="A3" s="10" t="s">
        <v>72</v>
      </c>
      <c r="B3" s="19">
        <v>0.4</v>
      </c>
      <c r="C3" s="19">
        <v>0.7</v>
      </c>
      <c r="D3" s="19">
        <f>$B3-$C3</f>
        <v>-0.29999999999999993</v>
      </c>
    </row>
    <row r="4" spans="1:5" x14ac:dyDescent="0.3">
      <c r="A4" s="11" t="s">
        <v>73</v>
      </c>
      <c r="B4" s="19">
        <v>4.0999999999999996</v>
      </c>
      <c r="C4" s="19">
        <v>-0.2</v>
      </c>
      <c r="D4" s="19">
        <f t="shared" ref="D4:D8" si="0">$B4-$C4</f>
        <v>4.3</v>
      </c>
    </row>
    <row r="5" spans="1:5" x14ac:dyDescent="0.3">
      <c r="A5" s="11" t="s">
        <v>74</v>
      </c>
      <c r="B5">
        <v>8.6999999999999993</v>
      </c>
      <c r="C5">
        <v>1</v>
      </c>
      <c r="D5">
        <f t="shared" si="0"/>
        <v>7.6999999999999993</v>
      </c>
      <c r="E5">
        <f>AVERAGE(D5:D8)</f>
        <v>8.2250000000000014</v>
      </c>
    </row>
    <row r="6" spans="1:5" x14ac:dyDescent="0.3">
      <c r="A6" s="11" t="s">
        <v>76</v>
      </c>
      <c r="B6">
        <v>10.9</v>
      </c>
      <c r="C6">
        <v>3.5</v>
      </c>
      <c r="D6">
        <f t="shared" si="0"/>
        <v>7.4</v>
      </c>
    </row>
    <row r="7" spans="1:5" x14ac:dyDescent="0.3">
      <c r="A7" s="11" t="s">
        <v>77</v>
      </c>
      <c r="B7">
        <v>11.1</v>
      </c>
      <c r="C7">
        <v>4.0999999999999996</v>
      </c>
      <c r="D7">
        <f t="shared" si="0"/>
        <v>7</v>
      </c>
    </row>
    <row r="8" spans="1:5" ht="15" thickBot="1" x14ac:dyDescent="0.35">
      <c r="A8" s="12" t="s">
        <v>75</v>
      </c>
      <c r="B8">
        <v>12.8</v>
      </c>
      <c r="C8">
        <v>2</v>
      </c>
      <c r="D8">
        <f t="shared" si="0"/>
        <v>10.8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15C4-2ABE-401A-A7E7-6DA16866D145}">
  <dimension ref="A1:M13"/>
  <sheetViews>
    <sheetView zoomScale="74" workbookViewId="0">
      <selection activeCell="L1" sqref="L1:M1"/>
    </sheetView>
  </sheetViews>
  <sheetFormatPr defaultRowHeight="14.4" x14ac:dyDescent="0.3"/>
  <cols>
    <col min="1" max="1" width="16.77734375" bestFit="1" customWidth="1"/>
    <col min="3" max="3" width="16" bestFit="1" customWidth="1"/>
    <col min="4" max="4" width="14.77734375" bestFit="1" customWidth="1"/>
    <col min="8" max="8" width="9.33203125" bestFit="1" customWidth="1"/>
    <col min="10" max="10" width="25.6640625" bestFit="1" customWidth="1"/>
    <col min="11" max="11" width="24.5546875" bestFit="1" customWidth="1"/>
    <col min="12" max="12" width="24.77734375" customWidth="1"/>
    <col min="13" max="13" width="14.77734375" customWidth="1"/>
  </cols>
  <sheetData>
    <row r="1" spans="1:13" ht="15" thickBot="1" x14ac:dyDescent="0.35">
      <c r="A1" s="15" t="s">
        <v>79</v>
      </c>
      <c r="B1" s="16" t="s">
        <v>84</v>
      </c>
      <c r="C1" s="16" t="s">
        <v>85</v>
      </c>
      <c r="D1" s="16" t="s">
        <v>86</v>
      </c>
      <c r="E1" s="16" t="s">
        <v>87</v>
      </c>
      <c r="F1" s="16" t="s">
        <v>88</v>
      </c>
      <c r="G1" s="16" t="s">
        <v>89</v>
      </c>
      <c r="H1" s="16" t="s">
        <v>90</v>
      </c>
      <c r="I1" s="16" t="s">
        <v>91</v>
      </c>
      <c r="J1" s="18" t="s">
        <v>98</v>
      </c>
      <c r="K1" s="17" t="s">
        <v>102</v>
      </c>
      <c r="L1" s="3" t="s">
        <v>114</v>
      </c>
      <c r="M1" s="3" t="s">
        <v>115</v>
      </c>
    </row>
    <row r="2" spans="1:13" x14ac:dyDescent="0.3">
      <c r="A2" t="s">
        <v>94</v>
      </c>
      <c r="B2">
        <v>9</v>
      </c>
      <c r="C2" t="s">
        <v>95</v>
      </c>
      <c r="D2" t="s">
        <v>82</v>
      </c>
      <c r="E2">
        <v>70.878769000000005</v>
      </c>
      <c r="F2">
        <v>-153.906792</v>
      </c>
      <c r="G2" t="s">
        <v>83</v>
      </c>
      <c r="H2">
        <v>1</v>
      </c>
      <c r="I2">
        <v>1</v>
      </c>
      <c r="J2">
        <v>4.5</v>
      </c>
      <c r="K2">
        <v>0.3</v>
      </c>
      <c r="L2" s="20">
        <v>0.63431999999999999</v>
      </c>
      <c r="M2" s="20">
        <v>0.33010299999999998</v>
      </c>
    </row>
    <row r="3" spans="1:13" x14ac:dyDescent="0.3">
      <c r="A3" t="s">
        <v>96</v>
      </c>
      <c r="B3">
        <v>23</v>
      </c>
      <c r="C3" t="s">
        <v>97</v>
      </c>
      <c r="D3" t="s">
        <v>82</v>
      </c>
      <c r="E3">
        <v>70.881637999999995</v>
      </c>
      <c r="F3">
        <v>-153.85055299999999</v>
      </c>
      <c r="G3" t="s">
        <v>83</v>
      </c>
      <c r="H3">
        <v>235</v>
      </c>
      <c r="I3">
        <v>15</v>
      </c>
      <c r="J3">
        <v>5.7</v>
      </c>
      <c r="K3">
        <v>0.9</v>
      </c>
      <c r="L3" s="20">
        <v>0.97899599999999998</v>
      </c>
      <c r="M3" s="20">
        <v>0.57900200000000002</v>
      </c>
    </row>
    <row r="4" spans="1:13" x14ac:dyDescent="0.3">
      <c r="A4" t="s">
        <v>93</v>
      </c>
      <c r="B4">
        <v>23</v>
      </c>
      <c r="C4" t="s">
        <v>81</v>
      </c>
      <c r="D4" t="s">
        <v>82</v>
      </c>
      <c r="E4">
        <v>70.754256999999996</v>
      </c>
      <c r="F4">
        <v>-153.748977</v>
      </c>
      <c r="G4" t="s">
        <v>83</v>
      </c>
      <c r="H4">
        <v>285</v>
      </c>
      <c r="I4">
        <v>15</v>
      </c>
      <c r="J4">
        <v>8.3000000000000007</v>
      </c>
      <c r="K4">
        <v>3</v>
      </c>
      <c r="L4" s="20">
        <v>0.79219600000000001</v>
      </c>
      <c r="M4" s="20">
        <v>0.63818799999999998</v>
      </c>
    </row>
    <row r="5" spans="1:13" x14ac:dyDescent="0.3">
      <c r="A5" t="s">
        <v>100</v>
      </c>
      <c r="B5">
        <v>17</v>
      </c>
      <c r="C5" t="s">
        <v>81</v>
      </c>
      <c r="D5" t="s">
        <v>82</v>
      </c>
      <c r="E5">
        <v>70.883964000000006</v>
      </c>
      <c r="F5">
        <v>-153.727487</v>
      </c>
      <c r="G5" t="s">
        <v>83</v>
      </c>
      <c r="H5">
        <v>305</v>
      </c>
      <c r="I5">
        <v>20</v>
      </c>
      <c r="J5">
        <v>5.2</v>
      </c>
      <c r="K5">
        <v>1</v>
      </c>
      <c r="L5" s="20">
        <v>0.81395200000000001</v>
      </c>
      <c r="M5" s="20">
        <v>0.46308199999999999</v>
      </c>
    </row>
    <row r="6" spans="1:13" x14ac:dyDescent="0.3">
      <c r="A6" t="s">
        <v>101</v>
      </c>
      <c r="B6">
        <v>13</v>
      </c>
      <c r="C6" t="s">
        <v>97</v>
      </c>
      <c r="D6" t="s">
        <v>82</v>
      </c>
      <c r="E6">
        <v>70.882463999999999</v>
      </c>
      <c r="F6">
        <v>-153.446583</v>
      </c>
      <c r="G6" t="s">
        <v>83</v>
      </c>
      <c r="H6">
        <v>705</v>
      </c>
      <c r="I6">
        <v>15</v>
      </c>
      <c r="J6">
        <v>6.8</v>
      </c>
      <c r="K6">
        <v>1.2</v>
      </c>
      <c r="L6" s="20">
        <v>0.80269999999999997</v>
      </c>
      <c r="M6" s="20">
        <v>0.524648</v>
      </c>
    </row>
    <row r="7" spans="1:13" x14ac:dyDescent="0.3">
      <c r="A7" t="s">
        <v>80</v>
      </c>
      <c r="B7">
        <v>30</v>
      </c>
      <c r="C7" t="s">
        <v>81</v>
      </c>
      <c r="D7" t="s">
        <v>82</v>
      </c>
      <c r="E7">
        <v>70.748589999999993</v>
      </c>
      <c r="F7">
        <v>-153.952</v>
      </c>
      <c r="G7" t="s">
        <v>83</v>
      </c>
      <c r="H7">
        <v>850</v>
      </c>
      <c r="I7">
        <v>15</v>
      </c>
      <c r="J7">
        <v>6.8</v>
      </c>
      <c r="K7">
        <v>2.9</v>
      </c>
      <c r="L7" s="20">
        <v>0.84271799999999997</v>
      </c>
      <c r="M7" s="20">
        <v>0.34269300000000003</v>
      </c>
    </row>
    <row r="8" spans="1:13" x14ac:dyDescent="0.3">
      <c r="A8" t="s">
        <v>99</v>
      </c>
      <c r="B8">
        <v>23</v>
      </c>
      <c r="C8" t="s">
        <v>95</v>
      </c>
      <c r="D8" t="s">
        <v>82</v>
      </c>
      <c r="E8">
        <v>70.881642999999997</v>
      </c>
      <c r="F8">
        <v>-153.81123299999999</v>
      </c>
      <c r="G8" t="s">
        <v>83</v>
      </c>
      <c r="H8">
        <v>1470</v>
      </c>
      <c r="I8">
        <v>20</v>
      </c>
      <c r="J8">
        <v>6.1</v>
      </c>
      <c r="K8">
        <v>1.6</v>
      </c>
      <c r="L8" s="20">
        <v>0.63564299999999996</v>
      </c>
      <c r="M8" s="20">
        <v>0.33698600000000001</v>
      </c>
    </row>
    <row r="9" spans="1:13" x14ac:dyDescent="0.3">
      <c r="A9" t="s">
        <v>92</v>
      </c>
      <c r="B9">
        <v>38</v>
      </c>
      <c r="C9" t="s">
        <v>81</v>
      </c>
      <c r="D9" t="s">
        <v>82</v>
      </c>
      <c r="E9">
        <v>70.746572</v>
      </c>
      <c r="F9">
        <v>-153.919557</v>
      </c>
      <c r="G9" t="s">
        <v>83</v>
      </c>
      <c r="H9">
        <v>2270</v>
      </c>
      <c r="I9">
        <v>15</v>
      </c>
      <c r="J9">
        <v>5</v>
      </c>
      <c r="K9">
        <v>2.1</v>
      </c>
      <c r="L9" s="20">
        <v>0.46011800000000003</v>
      </c>
      <c r="M9" s="20">
        <v>0.26873200000000003</v>
      </c>
    </row>
    <row r="11" spans="1:13" x14ac:dyDescent="0.3">
      <c r="A11" t="s">
        <v>111</v>
      </c>
      <c r="J11">
        <f>AVERAGE(J2:J9)</f>
        <v>6.05</v>
      </c>
      <c r="K11">
        <f>AVERAGE(K2:K9)</f>
        <v>1.625</v>
      </c>
      <c r="L11" s="20">
        <f>AVERAGE(L2:L9)</f>
        <v>0.74508037499999991</v>
      </c>
      <c r="M11" s="20">
        <f>AVERAGE(M2:M9)</f>
        <v>0.43542924999999999</v>
      </c>
    </row>
    <row r="12" spans="1:13" x14ac:dyDescent="0.3">
      <c r="A12" t="s">
        <v>112</v>
      </c>
      <c r="J12">
        <f>AVERAGE(J4,J7,J9)</f>
        <v>6.7</v>
      </c>
      <c r="K12">
        <f>AVERAGE(K4,K7,K9)</f>
        <v>2.6666666666666665</v>
      </c>
      <c r="L12">
        <f>AVERAGE(L4,L7,L9)</f>
        <v>0.69834399999999996</v>
      </c>
      <c r="M12">
        <f>AVERAGE(M4,M7,M9)</f>
        <v>0.41653766666666669</v>
      </c>
    </row>
    <row r="13" spans="1:13" x14ac:dyDescent="0.3">
      <c r="A13" t="s">
        <v>113</v>
      </c>
      <c r="J13">
        <f>AVERAGE(J2,J3,J5,J6,J8)</f>
        <v>5.6599999999999993</v>
      </c>
      <c r="K13">
        <f>AVERAGE(K2,K3,K5,K6,K8)</f>
        <v>1</v>
      </c>
      <c r="L13">
        <f>AVERAGE(L2,L3,L5,L6,L8)</f>
        <v>0.77312219999999987</v>
      </c>
      <c r="M13">
        <f>AVERAGE(M2,M3,M5,M6,M8)</f>
        <v>0.44676419999999994</v>
      </c>
    </row>
  </sheetData>
  <sortState xmlns:xlrd2="http://schemas.microsoft.com/office/spreadsheetml/2017/richdata2" ref="A2:J9">
    <sortCondition ref="H1:H9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B4DC-2B7A-44C2-93AB-1567121CF63C}">
  <dimension ref="A1:M13"/>
  <sheetViews>
    <sheetView workbookViewId="0">
      <selection activeCell="K11" sqref="K11"/>
    </sheetView>
  </sheetViews>
  <sheetFormatPr defaultRowHeight="14.4" x14ac:dyDescent="0.3"/>
  <cols>
    <col min="1" max="1" width="20.33203125" customWidth="1"/>
    <col min="10" max="10" width="13.77734375" customWidth="1"/>
    <col min="11" max="11" width="13.21875" customWidth="1"/>
    <col min="12" max="13" width="21.5546875" bestFit="1" customWidth="1"/>
  </cols>
  <sheetData>
    <row r="1" spans="1:13" ht="15" thickBot="1" x14ac:dyDescent="0.35">
      <c r="A1" s="15" t="s">
        <v>79</v>
      </c>
      <c r="B1" s="16" t="s">
        <v>84</v>
      </c>
      <c r="C1" s="16" t="s">
        <v>85</v>
      </c>
      <c r="D1" s="16" t="s">
        <v>86</v>
      </c>
      <c r="E1" s="16" t="s">
        <v>87</v>
      </c>
      <c r="F1" s="16" t="s">
        <v>88</v>
      </c>
      <c r="G1" s="16" t="s">
        <v>89</v>
      </c>
      <c r="H1" s="16" t="s">
        <v>90</v>
      </c>
      <c r="I1" s="16" t="s">
        <v>91</v>
      </c>
      <c r="J1" s="3" t="s">
        <v>146</v>
      </c>
      <c r="K1" s="3" t="s">
        <v>150</v>
      </c>
      <c r="L1" s="3" t="s">
        <v>151</v>
      </c>
      <c r="M1" s="3" t="s">
        <v>152</v>
      </c>
    </row>
    <row r="2" spans="1:13" x14ac:dyDescent="0.3">
      <c r="A2" t="s">
        <v>94</v>
      </c>
      <c r="B2">
        <v>9</v>
      </c>
      <c r="C2" t="s">
        <v>95</v>
      </c>
      <c r="D2" t="s">
        <v>82</v>
      </c>
      <c r="E2">
        <v>70.878769000000005</v>
      </c>
      <c r="F2">
        <v>-153.906792</v>
      </c>
      <c r="G2" t="s">
        <v>83</v>
      </c>
      <c r="H2">
        <v>1</v>
      </c>
      <c r="I2">
        <v>1</v>
      </c>
      <c r="J2">
        <v>18.600000000000001</v>
      </c>
      <c r="K2">
        <v>0</v>
      </c>
      <c r="L2">
        <v>17.3</v>
      </c>
      <c r="M2">
        <v>5.2</v>
      </c>
    </row>
    <row r="3" spans="1:13" x14ac:dyDescent="0.3">
      <c r="A3" t="s">
        <v>96</v>
      </c>
      <c r="B3">
        <v>23</v>
      </c>
      <c r="C3" t="s">
        <v>97</v>
      </c>
      <c r="D3" t="s">
        <v>82</v>
      </c>
      <c r="E3">
        <v>70.881637999999995</v>
      </c>
      <c r="F3">
        <v>-153.85055299999999</v>
      </c>
      <c r="G3" t="s">
        <v>83</v>
      </c>
      <c r="H3">
        <v>235</v>
      </c>
      <c r="I3">
        <v>15</v>
      </c>
      <c r="J3">
        <v>9.5</v>
      </c>
      <c r="K3">
        <v>0</v>
      </c>
      <c r="L3">
        <v>8.8000000000000007</v>
      </c>
      <c r="M3">
        <v>3.8</v>
      </c>
    </row>
    <row r="4" spans="1:13" x14ac:dyDescent="0.3">
      <c r="A4" t="s">
        <v>93</v>
      </c>
      <c r="B4">
        <v>23</v>
      </c>
      <c r="C4" t="s">
        <v>81</v>
      </c>
      <c r="D4" t="s">
        <v>82</v>
      </c>
      <c r="E4">
        <v>70.754256999999996</v>
      </c>
      <c r="F4">
        <v>-153.748977</v>
      </c>
      <c r="G4" t="s">
        <v>83</v>
      </c>
      <c r="H4">
        <v>285</v>
      </c>
      <c r="I4">
        <v>15</v>
      </c>
      <c r="J4">
        <v>16.899999999999999</v>
      </c>
      <c r="K4">
        <v>5.7</v>
      </c>
      <c r="L4">
        <v>12.1</v>
      </c>
      <c r="M4">
        <v>5.4</v>
      </c>
    </row>
    <row r="5" spans="1:13" x14ac:dyDescent="0.3">
      <c r="A5" t="s">
        <v>100</v>
      </c>
      <c r="B5">
        <v>17</v>
      </c>
      <c r="C5" t="s">
        <v>81</v>
      </c>
      <c r="D5" t="s">
        <v>82</v>
      </c>
      <c r="E5">
        <v>70.883964000000006</v>
      </c>
      <c r="F5">
        <v>-153.727487</v>
      </c>
      <c r="G5" t="s">
        <v>83</v>
      </c>
      <c r="H5">
        <v>305</v>
      </c>
      <c r="I5">
        <v>20</v>
      </c>
      <c r="J5">
        <v>35.5</v>
      </c>
      <c r="K5">
        <v>1.7</v>
      </c>
      <c r="L5">
        <v>26.4</v>
      </c>
      <c r="M5">
        <v>4.8</v>
      </c>
    </row>
    <row r="6" spans="1:13" x14ac:dyDescent="0.3">
      <c r="A6" t="s">
        <v>101</v>
      </c>
      <c r="B6">
        <v>13</v>
      </c>
      <c r="C6" t="s">
        <v>97</v>
      </c>
      <c r="D6" t="s">
        <v>82</v>
      </c>
      <c r="E6">
        <v>70.882463999999999</v>
      </c>
      <c r="F6">
        <v>-153.446583</v>
      </c>
      <c r="G6" t="s">
        <v>83</v>
      </c>
      <c r="H6">
        <v>705</v>
      </c>
      <c r="I6">
        <v>15</v>
      </c>
      <c r="J6">
        <v>36.1</v>
      </c>
      <c r="K6">
        <v>2.4</v>
      </c>
      <c r="L6">
        <v>24</v>
      </c>
      <c r="M6">
        <v>5.0999999999999996</v>
      </c>
    </row>
    <row r="7" spans="1:13" x14ac:dyDescent="0.3">
      <c r="A7" t="s">
        <v>80</v>
      </c>
      <c r="B7">
        <v>30</v>
      </c>
      <c r="C7" t="s">
        <v>81</v>
      </c>
      <c r="D7" t="s">
        <v>82</v>
      </c>
      <c r="E7">
        <v>70.748589999999993</v>
      </c>
      <c r="F7">
        <v>-153.952</v>
      </c>
      <c r="G7" t="s">
        <v>83</v>
      </c>
      <c r="H7">
        <v>850</v>
      </c>
      <c r="I7">
        <v>15</v>
      </c>
      <c r="J7">
        <v>12.4</v>
      </c>
      <c r="K7">
        <v>1.9</v>
      </c>
      <c r="L7">
        <v>9.4</v>
      </c>
      <c r="M7">
        <v>4</v>
      </c>
    </row>
    <row r="8" spans="1:13" x14ac:dyDescent="0.3">
      <c r="A8" t="s">
        <v>99</v>
      </c>
      <c r="B8">
        <v>23</v>
      </c>
      <c r="C8" t="s">
        <v>95</v>
      </c>
      <c r="D8" t="s">
        <v>82</v>
      </c>
      <c r="E8">
        <v>70.881642999999997</v>
      </c>
      <c r="F8">
        <v>-153.81123299999999</v>
      </c>
      <c r="G8" t="s">
        <v>83</v>
      </c>
      <c r="H8">
        <v>1470</v>
      </c>
      <c r="I8">
        <v>20</v>
      </c>
      <c r="J8">
        <v>19.7</v>
      </c>
      <c r="K8">
        <v>1.9</v>
      </c>
      <c r="L8">
        <v>14.8</v>
      </c>
      <c r="M8">
        <v>3.4</v>
      </c>
    </row>
    <row r="9" spans="1:13" x14ac:dyDescent="0.3">
      <c r="A9" t="s">
        <v>92</v>
      </c>
      <c r="B9">
        <v>38</v>
      </c>
      <c r="C9" t="s">
        <v>81</v>
      </c>
      <c r="D9" t="s">
        <v>82</v>
      </c>
      <c r="E9">
        <v>70.746572</v>
      </c>
      <c r="F9">
        <v>-153.919557</v>
      </c>
      <c r="G9" t="s">
        <v>83</v>
      </c>
      <c r="H9">
        <v>2270</v>
      </c>
      <c r="I9">
        <v>15</v>
      </c>
      <c r="J9">
        <v>10.1</v>
      </c>
      <c r="K9">
        <v>1.7</v>
      </c>
      <c r="L9">
        <v>7.8</v>
      </c>
      <c r="M9">
        <v>2.7</v>
      </c>
    </row>
    <row r="11" spans="1:13" x14ac:dyDescent="0.3">
      <c r="A11" t="s">
        <v>147</v>
      </c>
      <c r="J11">
        <f>AVERAGE(J2:J9)</f>
        <v>19.849999999999998</v>
      </c>
      <c r="K11">
        <f>AVERAGE(K2:K9)</f>
        <v>1.9125000000000001</v>
      </c>
      <c r="L11">
        <f>AVERAGE(L2:L9)</f>
        <v>15.074999999999999</v>
      </c>
      <c r="M11">
        <f>AVERAGE(M2:M9)</f>
        <v>4.3</v>
      </c>
    </row>
    <row r="12" spans="1:13" x14ac:dyDescent="0.3">
      <c r="A12" t="s">
        <v>148</v>
      </c>
      <c r="J12">
        <f>AVERAGE(J4,J7,J9)</f>
        <v>13.133333333333333</v>
      </c>
      <c r="K12">
        <f>AVERAGE(K4,K7,K9)</f>
        <v>3.0999999999999996</v>
      </c>
      <c r="L12">
        <f>AVERAGE(L4,L7,L9)</f>
        <v>9.7666666666666675</v>
      </c>
      <c r="M12">
        <f>AVERAGE(M4,M7,M9)</f>
        <v>4.0333333333333341</v>
      </c>
    </row>
    <row r="13" spans="1:13" x14ac:dyDescent="0.3">
      <c r="A13" t="s">
        <v>149</v>
      </c>
      <c r="J13">
        <f>AVERAGE(J2,J3,J5,J6,J8)</f>
        <v>23.880000000000003</v>
      </c>
      <c r="K13">
        <f>AVERAGE(K2,K3,K5,K6,K8)</f>
        <v>1.2</v>
      </c>
      <c r="L13">
        <f>AVERAGE(L2,L3,L5,L6,L8)</f>
        <v>18.259999999999998</v>
      </c>
      <c r="M13">
        <f>AVERAGE(M2,M3,M5,M6,M8)</f>
        <v>4.4599999999999991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1681-D2CD-4561-BD67-58B5F6A4E1BF}">
  <dimension ref="A1:E6"/>
  <sheetViews>
    <sheetView zoomScale="85" zoomScaleNormal="85" workbookViewId="0">
      <selection activeCell="D2" sqref="D2:D6"/>
    </sheetView>
  </sheetViews>
  <sheetFormatPr defaultRowHeight="14.4" x14ac:dyDescent="0.3"/>
  <cols>
    <col min="1" max="1" width="8.88671875" customWidth="1"/>
    <col min="2" max="2" width="11.109375" bestFit="1" customWidth="1"/>
    <col min="3" max="3" width="10.77734375" bestFit="1" customWidth="1"/>
    <col min="5" max="5" width="17.77734375" bestFit="1" customWidth="1"/>
  </cols>
  <sheetData>
    <row r="1" spans="1:5" x14ac:dyDescent="0.3">
      <c r="B1" t="s">
        <v>104</v>
      </c>
      <c r="C1" t="s">
        <v>105</v>
      </c>
      <c r="D1" t="s">
        <v>106</v>
      </c>
      <c r="E1" t="s">
        <v>107</v>
      </c>
    </row>
    <row r="2" spans="1:5" x14ac:dyDescent="0.3">
      <c r="A2">
        <v>2019</v>
      </c>
      <c r="B2">
        <v>491.93</v>
      </c>
      <c r="C2">
        <v>0.96</v>
      </c>
      <c r="D2">
        <v>613</v>
      </c>
      <c r="E2">
        <v>184</v>
      </c>
    </row>
    <row r="3" spans="1:5" x14ac:dyDescent="0.3">
      <c r="A3">
        <v>2020</v>
      </c>
      <c r="B3">
        <v>31.24</v>
      </c>
      <c r="C3" s="1" t="s">
        <v>11</v>
      </c>
      <c r="D3">
        <v>305</v>
      </c>
      <c r="E3">
        <v>151</v>
      </c>
    </row>
    <row r="4" spans="1:5" x14ac:dyDescent="0.3">
      <c r="A4">
        <v>2021</v>
      </c>
      <c r="B4">
        <v>18.62</v>
      </c>
      <c r="C4">
        <v>1.53</v>
      </c>
      <c r="D4">
        <v>278</v>
      </c>
      <c r="E4">
        <v>98</v>
      </c>
    </row>
    <row r="5" spans="1:5" x14ac:dyDescent="0.3">
      <c r="A5">
        <v>2022</v>
      </c>
      <c r="B5">
        <v>11.82</v>
      </c>
      <c r="C5">
        <v>17.73</v>
      </c>
      <c r="D5">
        <v>326</v>
      </c>
      <c r="E5">
        <v>134</v>
      </c>
    </row>
    <row r="6" spans="1:5" x14ac:dyDescent="0.3">
      <c r="A6">
        <v>2023</v>
      </c>
      <c r="B6">
        <v>303.98</v>
      </c>
      <c r="C6" s="1" t="s">
        <v>11</v>
      </c>
      <c r="D6">
        <v>517</v>
      </c>
      <c r="E6">
        <v>139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1557-DC7E-4A6F-8F8A-F10950C41832}">
  <dimension ref="A1:E7"/>
  <sheetViews>
    <sheetView workbookViewId="0">
      <selection activeCell="E8" sqref="E8"/>
    </sheetView>
  </sheetViews>
  <sheetFormatPr defaultRowHeight="14.4" x14ac:dyDescent="0.3"/>
  <cols>
    <col min="2" max="2" width="17.33203125" bestFit="1" customWidth="1"/>
    <col min="3" max="3" width="17.33203125" customWidth="1"/>
  </cols>
  <sheetData>
    <row r="1" spans="1:5" x14ac:dyDescent="0.3">
      <c r="A1" t="s">
        <v>0</v>
      </c>
      <c r="B1" t="s">
        <v>108</v>
      </c>
      <c r="C1" t="s">
        <v>109</v>
      </c>
      <c r="D1" t="s">
        <v>106</v>
      </c>
      <c r="E1" t="s">
        <v>110</v>
      </c>
    </row>
    <row r="2" spans="1:5" x14ac:dyDescent="0.3">
      <c r="A2">
        <v>2018</v>
      </c>
      <c r="B2" s="6">
        <v>2.2999999999999998</v>
      </c>
      <c r="C2" s="7">
        <v>2.6</v>
      </c>
      <c r="D2">
        <v>310</v>
      </c>
      <c r="E2">
        <v>16.79</v>
      </c>
    </row>
    <row r="3" spans="1:5" x14ac:dyDescent="0.3">
      <c r="A3">
        <v>2019</v>
      </c>
      <c r="B3" s="6">
        <v>5.3</v>
      </c>
      <c r="C3" s="6">
        <v>11.2</v>
      </c>
      <c r="D3">
        <v>613</v>
      </c>
      <c r="E3">
        <v>25.88</v>
      </c>
    </row>
    <row r="4" spans="1:5" x14ac:dyDescent="0.3">
      <c r="A4">
        <v>2020</v>
      </c>
      <c r="B4" s="6">
        <v>3.2</v>
      </c>
      <c r="C4" s="6">
        <v>5.3</v>
      </c>
      <c r="D4">
        <v>305</v>
      </c>
      <c r="E4">
        <v>15.77</v>
      </c>
    </row>
    <row r="5" spans="1:5" x14ac:dyDescent="0.3">
      <c r="A5">
        <v>2021</v>
      </c>
      <c r="B5" s="6">
        <v>1.8</v>
      </c>
      <c r="C5" s="6">
        <v>1.2</v>
      </c>
      <c r="D5">
        <v>278</v>
      </c>
      <c r="E5">
        <v>19.88</v>
      </c>
    </row>
    <row r="6" spans="1:5" x14ac:dyDescent="0.3">
      <c r="A6">
        <v>2022</v>
      </c>
      <c r="B6" s="6">
        <v>3.2</v>
      </c>
      <c r="C6" s="6">
        <v>5.0999999999999996</v>
      </c>
      <c r="D6">
        <v>326</v>
      </c>
      <c r="E6">
        <v>16.54</v>
      </c>
    </row>
    <row r="7" spans="1:5" x14ac:dyDescent="0.3">
      <c r="A7">
        <v>2023</v>
      </c>
      <c r="B7" s="6">
        <v>5.5</v>
      </c>
      <c r="C7" s="6">
        <v>11.8</v>
      </c>
      <c r="D7">
        <v>517</v>
      </c>
      <c r="E7">
        <v>22.17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2146-3B3D-4C27-9426-7D7671AFC753}">
  <dimension ref="A1:N17"/>
  <sheetViews>
    <sheetView workbookViewId="0">
      <selection activeCell="N1" sqref="N1:N17"/>
    </sheetView>
  </sheetViews>
  <sheetFormatPr defaultRowHeight="14.4" x14ac:dyDescent="0.3"/>
  <cols>
    <col min="2" max="2" width="35" bestFit="1" customWidth="1"/>
    <col min="3" max="3" width="9.88671875" customWidth="1"/>
    <col min="14" max="14" width="12.5546875" bestFit="1" customWidth="1"/>
  </cols>
  <sheetData>
    <row r="1" spans="1:14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</row>
    <row r="2" spans="1:14" x14ac:dyDescent="0.3">
      <c r="A2">
        <v>2</v>
      </c>
      <c r="B2" t="s">
        <v>116</v>
      </c>
      <c r="C2">
        <v>4607</v>
      </c>
      <c r="D2">
        <v>2.3440000000000002E-3</v>
      </c>
      <c r="E2">
        <v>4.5830999999999997E-2</v>
      </c>
      <c r="F2">
        <v>1</v>
      </c>
      <c r="G2">
        <v>16.660489999999999</v>
      </c>
      <c r="H2">
        <v>16.614659</v>
      </c>
      <c r="I2" s="20">
        <v>5.290305</v>
      </c>
      <c r="J2">
        <v>2.3120959999999999</v>
      </c>
      <c r="K2">
        <v>24372.434228999999</v>
      </c>
      <c r="L2" s="20">
        <v>4.6848109999999998</v>
      </c>
      <c r="M2">
        <v>8.5788930000000008</v>
      </c>
      <c r="N2">
        <f t="shared" ref="N2:N17" si="0">$C2/(SUM($C$2:$C$17))*100</f>
        <v>3.0724803926799336</v>
      </c>
    </row>
    <row r="3" spans="1:14" x14ac:dyDescent="0.3">
      <c r="A3">
        <v>3</v>
      </c>
      <c r="B3" t="s">
        <v>117</v>
      </c>
      <c r="C3">
        <v>38397</v>
      </c>
      <c r="D3">
        <v>1.9533999999999999E-2</v>
      </c>
      <c r="E3">
        <v>6.2798999999999994E-2</v>
      </c>
      <c r="F3">
        <v>2</v>
      </c>
      <c r="G3">
        <v>19.544087999999999</v>
      </c>
      <c r="H3">
        <v>19.481289</v>
      </c>
      <c r="I3" s="20">
        <v>5.7574149999999999</v>
      </c>
      <c r="J3">
        <v>2.398174</v>
      </c>
      <c r="K3">
        <v>221067.47383599999</v>
      </c>
      <c r="L3" s="20">
        <v>5.1605259999999999</v>
      </c>
      <c r="M3">
        <v>9.1302830000000004</v>
      </c>
      <c r="N3">
        <f t="shared" si="0"/>
        <v>25.607560155791496</v>
      </c>
    </row>
    <row r="4" spans="1:14" x14ac:dyDescent="0.3">
      <c r="A4">
        <v>4</v>
      </c>
      <c r="B4" t="s">
        <v>118</v>
      </c>
      <c r="C4">
        <v>19077</v>
      </c>
      <c r="D4">
        <v>9.7050000000000001E-3</v>
      </c>
      <c r="E4">
        <v>6.8499999999999995E-4</v>
      </c>
      <c r="F4">
        <v>3</v>
      </c>
      <c r="G4">
        <v>22.62067</v>
      </c>
      <c r="H4">
        <v>22.619985</v>
      </c>
      <c r="I4" s="20">
        <v>6.1604219999999996</v>
      </c>
      <c r="J4">
        <v>2.885014</v>
      </c>
      <c r="K4">
        <v>117522.365229</v>
      </c>
      <c r="L4" s="20">
        <v>5.5759090000000002</v>
      </c>
      <c r="M4">
        <v>10.313598000000001</v>
      </c>
      <c r="N4">
        <f t="shared" si="0"/>
        <v>12.72274982660193</v>
      </c>
    </row>
    <row r="5" spans="1:14" x14ac:dyDescent="0.3">
      <c r="A5">
        <v>7</v>
      </c>
      <c r="B5" t="s">
        <v>119</v>
      </c>
      <c r="C5">
        <v>16321</v>
      </c>
      <c r="D5">
        <v>8.3029999999999996E-3</v>
      </c>
      <c r="E5">
        <v>4.5310000000000003E-2</v>
      </c>
      <c r="F5">
        <v>4</v>
      </c>
      <c r="G5">
        <v>17.568557999999999</v>
      </c>
      <c r="H5">
        <v>17.523247000000001</v>
      </c>
      <c r="I5" s="20">
        <v>6.3288960000000003</v>
      </c>
      <c r="J5">
        <v>2.171116</v>
      </c>
      <c r="K5">
        <v>103293.90561099999</v>
      </c>
      <c r="L5" s="20">
        <v>5.9660849999999996</v>
      </c>
      <c r="M5">
        <v>9.3300599999999996</v>
      </c>
      <c r="N5">
        <f t="shared" si="0"/>
        <v>10.884730299311743</v>
      </c>
    </row>
    <row r="6" spans="1:14" x14ac:dyDescent="0.3">
      <c r="A6">
        <v>8</v>
      </c>
      <c r="B6" t="s">
        <v>120</v>
      </c>
      <c r="C6">
        <v>7991</v>
      </c>
      <c r="D6">
        <v>4.065E-3</v>
      </c>
      <c r="E6">
        <v>0.25051800000000002</v>
      </c>
      <c r="F6">
        <v>5</v>
      </c>
      <c r="G6">
        <v>18.078802</v>
      </c>
      <c r="H6">
        <v>17.828284</v>
      </c>
      <c r="I6" s="20">
        <v>5.4433720000000001</v>
      </c>
      <c r="J6">
        <v>2.045506</v>
      </c>
      <c r="K6">
        <v>43497.985368000001</v>
      </c>
      <c r="L6" s="20">
        <v>4.9719379999999997</v>
      </c>
      <c r="M6">
        <v>8.1958540000000006</v>
      </c>
      <c r="N6">
        <f t="shared" si="0"/>
        <v>5.3293229472336341</v>
      </c>
    </row>
    <row r="7" spans="1:14" x14ac:dyDescent="0.3">
      <c r="A7">
        <v>9</v>
      </c>
      <c r="B7" t="s">
        <v>121</v>
      </c>
      <c r="C7">
        <v>42606</v>
      </c>
      <c r="D7">
        <v>2.1675E-2</v>
      </c>
      <c r="E7">
        <v>1.7229999999999999E-3</v>
      </c>
      <c r="F7">
        <v>6</v>
      </c>
      <c r="G7">
        <v>20.012022000000002</v>
      </c>
      <c r="H7">
        <v>20.010299</v>
      </c>
      <c r="I7" s="20">
        <v>5.7282070000000003</v>
      </c>
      <c r="J7">
        <v>2.169492</v>
      </c>
      <c r="K7">
        <v>244055.98002300001</v>
      </c>
      <c r="L7" s="20">
        <v>5.2996369999999997</v>
      </c>
      <c r="M7">
        <v>8.6628380000000007</v>
      </c>
      <c r="N7">
        <f t="shared" si="0"/>
        <v>28.414608120364939</v>
      </c>
    </row>
    <row r="8" spans="1:14" x14ac:dyDescent="0.3">
      <c r="A8">
        <v>10</v>
      </c>
      <c r="B8" t="s">
        <v>122</v>
      </c>
      <c r="C8">
        <v>948</v>
      </c>
      <c r="D8">
        <v>4.8200000000000001E-4</v>
      </c>
      <c r="E8">
        <v>3.1524000000000003E-2</v>
      </c>
      <c r="F8">
        <v>7</v>
      </c>
      <c r="G8">
        <v>16.417473000000001</v>
      </c>
      <c r="H8">
        <v>16.385949</v>
      </c>
      <c r="I8" s="20">
        <v>6.5638820000000004</v>
      </c>
      <c r="J8">
        <v>2.9629720000000002</v>
      </c>
      <c r="K8">
        <v>6222.5603840000003</v>
      </c>
      <c r="L8" s="20">
        <v>6.517493</v>
      </c>
      <c r="M8">
        <v>10.301933999999999</v>
      </c>
      <c r="N8">
        <f t="shared" si="0"/>
        <v>0.63223603478632029</v>
      </c>
    </row>
    <row r="9" spans="1:14" x14ac:dyDescent="0.3">
      <c r="A9">
        <v>11</v>
      </c>
      <c r="B9" t="s">
        <v>123</v>
      </c>
      <c r="C9">
        <v>476</v>
      </c>
      <c r="D9">
        <v>2.42E-4</v>
      </c>
      <c r="E9">
        <v>8.6678000000000005E-2</v>
      </c>
      <c r="F9">
        <v>8</v>
      </c>
      <c r="G9">
        <v>13.458537</v>
      </c>
      <c r="H9">
        <v>13.371859000000001</v>
      </c>
      <c r="I9" s="20">
        <v>5.5752439999999996</v>
      </c>
      <c r="J9">
        <v>2.1362930000000002</v>
      </c>
      <c r="K9">
        <v>2653.8163009999998</v>
      </c>
      <c r="L9" s="20">
        <v>5.5751350000000004</v>
      </c>
      <c r="M9">
        <v>8.2068309999999993</v>
      </c>
      <c r="N9">
        <f t="shared" si="0"/>
        <v>0.31745184869017767</v>
      </c>
    </row>
    <row r="10" spans="1:14" x14ac:dyDescent="0.3">
      <c r="A10">
        <v>13</v>
      </c>
      <c r="B10" t="s">
        <v>124</v>
      </c>
      <c r="C10">
        <v>1124</v>
      </c>
      <c r="D10">
        <v>5.7200000000000003E-4</v>
      </c>
      <c r="E10">
        <v>5.3217E-2</v>
      </c>
      <c r="F10">
        <v>9</v>
      </c>
      <c r="G10">
        <v>14.92033</v>
      </c>
      <c r="H10">
        <v>14.867113</v>
      </c>
      <c r="I10" s="20">
        <v>5.2886259999999998</v>
      </c>
      <c r="J10">
        <v>2.3189479999999998</v>
      </c>
      <c r="K10">
        <v>5944.415825</v>
      </c>
      <c r="L10" s="20">
        <v>5.1566210000000003</v>
      </c>
      <c r="M10">
        <v>8.3598140000000001</v>
      </c>
      <c r="N10">
        <f t="shared" si="0"/>
        <v>0.74961318892386497</v>
      </c>
    </row>
    <row r="11" spans="1:14" x14ac:dyDescent="0.3">
      <c r="A11">
        <v>16</v>
      </c>
      <c r="B11" t="s">
        <v>125</v>
      </c>
      <c r="C11">
        <v>869</v>
      </c>
      <c r="D11">
        <v>4.4200000000000001E-4</v>
      </c>
      <c r="E11">
        <v>0.20799599999999999</v>
      </c>
      <c r="F11">
        <v>10</v>
      </c>
      <c r="G11">
        <v>16.395422</v>
      </c>
      <c r="H11">
        <v>16.187425999999999</v>
      </c>
      <c r="I11" s="20">
        <v>6.3673739999999999</v>
      </c>
      <c r="J11">
        <v>2.7761429999999998</v>
      </c>
      <c r="K11">
        <v>5533.2478140000003</v>
      </c>
      <c r="L11" s="20">
        <v>6.1704720000000002</v>
      </c>
      <c r="M11">
        <v>10.14289</v>
      </c>
      <c r="N11">
        <f t="shared" si="0"/>
        <v>0.57954969855412686</v>
      </c>
    </row>
    <row r="12" spans="1:14" x14ac:dyDescent="0.3">
      <c r="A12">
        <v>17</v>
      </c>
      <c r="B12" t="s">
        <v>126</v>
      </c>
      <c r="C12">
        <v>10</v>
      </c>
      <c r="D12">
        <v>5.0000000000000004E-6</v>
      </c>
      <c r="E12">
        <v>4.0183150000000003</v>
      </c>
      <c r="F12">
        <v>11</v>
      </c>
      <c r="G12">
        <v>5.4224649999999999</v>
      </c>
      <c r="H12">
        <v>1.40415</v>
      </c>
      <c r="I12" s="20">
        <v>4.7024749999999997</v>
      </c>
      <c r="J12">
        <v>0.611344</v>
      </c>
      <c r="K12">
        <v>47.024746</v>
      </c>
      <c r="L12" s="20">
        <v>4.6960860000000002</v>
      </c>
      <c r="M12">
        <v>5.4224649999999999</v>
      </c>
      <c r="N12">
        <f t="shared" si="0"/>
        <v>6.6691564850877658E-3</v>
      </c>
    </row>
    <row r="13" spans="1:14" x14ac:dyDescent="0.3">
      <c r="A13">
        <v>18</v>
      </c>
      <c r="B13" t="s">
        <v>127</v>
      </c>
      <c r="C13">
        <v>138</v>
      </c>
      <c r="D13">
        <v>6.9999999999999994E-5</v>
      </c>
      <c r="E13">
        <v>1.0212939999999999</v>
      </c>
      <c r="F13">
        <v>12</v>
      </c>
      <c r="G13">
        <v>16.590456</v>
      </c>
      <c r="H13">
        <v>15.569162</v>
      </c>
      <c r="I13" s="20">
        <v>7.0143700000000004</v>
      </c>
      <c r="J13">
        <v>2.7031100000000001</v>
      </c>
      <c r="K13">
        <v>967.98312399999998</v>
      </c>
      <c r="L13" s="20">
        <v>6.8989310000000001</v>
      </c>
      <c r="M13">
        <v>10.739725</v>
      </c>
      <c r="N13">
        <f t="shared" si="0"/>
        <v>9.2034359494211182E-2</v>
      </c>
    </row>
    <row r="14" spans="1:14" x14ac:dyDescent="0.3">
      <c r="A14">
        <v>20</v>
      </c>
      <c r="B14" t="s">
        <v>128</v>
      </c>
      <c r="C14">
        <v>604</v>
      </c>
      <c r="D14">
        <v>3.0699999999999998E-4</v>
      </c>
      <c r="E14">
        <v>0.45715</v>
      </c>
      <c r="F14">
        <v>13</v>
      </c>
      <c r="G14">
        <v>14.864686000000001</v>
      </c>
      <c r="H14">
        <v>14.407536</v>
      </c>
      <c r="I14" s="20">
        <v>5.1104849999999997</v>
      </c>
      <c r="J14">
        <v>2.2063290000000002</v>
      </c>
      <c r="K14">
        <v>3086.7327919999998</v>
      </c>
      <c r="L14" s="20">
        <v>4.6180560000000002</v>
      </c>
      <c r="M14">
        <v>7.9072839999999998</v>
      </c>
      <c r="N14">
        <f t="shared" si="0"/>
        <v>0.4028170516993011</v>
      </c>
    </row>
    <row r="15" spans="1:14" x14ac:dyDescent="0.3">
      <c r="A15">
        <v>21</v>
      </c>
      <c r="B15" t="s">
        <v>129</v>
      </c>
      <c r="C15">
        <v>3169</v>
      </c>
      <c r="D15">
        <v>1.6119999999999999E-3</v>
      </c>
      <c r="E15">
        <v>0.17449799999999999</v>
      </c>
      <c r="F15">
        <v>14</v>
      </c>
      <c r="G15">
        <v>16.210159000000001</v>
      </c>
      <c r="H15">
        <v>16.035661999999999</v>
      </c>
      <c r="I15" s="20">
        <v>4.8429570000000002</v>
      </c>
      <c r="J15">
        <v>2.0704660000000001</v>
      </c>
      <c r="K15">
        <v>15347.331188</v>
      </c>
      <c r="L15" s="20">
        <v>4.4032419999999997</v>
      </c>
      <c r="M15">
        <v>7.7212899999999998</v>
      </c>
      <c r="N15">
        <f t="shared" si="0"/>
        <v>2.1134556901243129</v>
      </c>
    </row>
    <row r="16" spans="1:14" x14ac:dyDescent="0.3">
      <c r="A16">
        <v>22</v>
      </c>
      <c r="B16" t="s">
        <v>130</v>
      </c>
      <c r="C16">
        <v>2680</v>
      </c>
      <c r="D16">
        <v>1.3630000000000001E-3</v>
      </c>
      <c r="E16">
        <v>2.0799999999999999E-2</v>
      </c>
      <c r="F16">
        <v>15</v>
      </c>
      <c r="G16">
        <v>19.829529000000001</v>
      </c>
      <c r="H16">
        <v>19.808729</v>
      </c>
      <c r="I16" s="20">
        <v>5.0365359999999999</v>
      </c>
      <c r="J16">
        <v>2.6395949999999999</v>
      </c>
      <c r="K16">
        <v>13497.915236999999</v>
      </c>
      <c r="L16" s="20">
        <v>4.3763509999999997</v>
      </c>
      <c r="M16">
        <v>8.3830989999999996</v>
      </c>
      <c r="N16">
        <f t="shared" si="0"/>
        <v>1.7873339380035214</v>
      </c>
    </row>
    <row r="17" spans="1:14" x14ac:dyDescent="0.3">
      <c r="A17">
        <v>23</v>
      </c>
      <c r="B17" t="s">
        <v>131</v>
      </c>
      <c r="C17">
        <v>10927</v>
      </c>
      <c r="D17">
        <v>5.5589999999999997E-3</v>
      </c>
      <c r="E17">
        <v>1.7229999999999999E-3</v>
      </c>
      <c r="F17">
        <v>16</v>
      </c>
      <c r="G17">
        <v>17.737905999999999</v>
      </c>
      <c r="H17">
        <v>17.736181999999999</v>
      </c>
      <c r="I17" s="20">
        <v>4.9605990000000002</v>
      </c>
      <c r="J17">
        <v>2.2548059999999999</v>
      </c>
      <c r="K17">
        <v>54204.470384</v>
      </c>
      <c r="L17" s="20">
        <v>4.7589779999999999</v>
      </c>
      <c r="M17">
        <v>7.8119269999999998</v>
      </c>
      <c r="N17">
        <f t="shared" si="0"/>
        <v>7.2873872912554027</v>
      </c>
    </row>
  </sheetData>
  <sortState xmlns:xlrd2="http://schemas.microsoft.com/office/spreadsheetml/2017/richdata2" ref="A2:N17">
    <sortCondition ref="A1:A1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E68A-EDBB-4BD3-AF33-8C03844816FE}">
  <dimension ref="A1:M17"/>
  <sheetViews>
    <sheetView workbookViewId="0">
      <selection activeCell="A15" sqref="A15:XFD15"/>
    </sheetView>
  </sheetViews>
  <sheetFormatPr defaultRowHeight="14.4" x14ac:dyDescent="0.3"/>
  <cols>
    <col min="2" max="2" width="35" bestFit="1" customWidth="1"/>
    <col min="13" max="13" width="14.33203125" customWidth="1"/>
  </cols>
  <sheetData>
    <row r="1" spans="1:13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</row>
    <row r="2" spans="1:13" x14ac:dyDescent="0.3">
      <c r="A2">
        <v>10</v>
      </c>
      <c r="B2" t="s">
        <v>122</v>
      </c>
      <c r="C2">
        <v>724</v>
      </c>
      <c r="D2">
        <v>3.68E-4</v>
      </c>
      <c r="E2">
        <v>0</v>
      </c>
      <c r="F2">
        <v>145.486603</v>
      </c>
      <c r="G2">
        <v>145.486603</v>
      </c>
      <c r="H2">
        <v>37.547438999999997</v>
      </c>
      <c r="I2">
        <v>26.649277000000001</v>
      </c>
      <c r="J2">
        <v>27184.345795000001</v>
      </c>
      <c r="K2">
        <v>32.870865000000002</v>
      </c>
      <c r="L2">
        <v>75.669032000000001</v>
      </c>
      <c r="M2">
        <f t="shared" ref="M2:M17" si="0">$C2/(SUM($C$2:$C$17))*100</f>
        <v>0.54971754844196075</v>
      </c>
    </row>
    <row r="3" spans="1:13" x14ac:dyDescent="0.3">
      <c r="A3">
        <v>18</v>
      </c>
      <c r="B3" t="s">
        <v>127</v>
      </c>
      <c r="C3">
        <v>138</v>
      </c>
      <c r="D3">
        <v>6.9999999999999994E-5</v>
      </c>
      <c r="E3">
        <v>0</v>
      </c>
      <c r="F3">
        <v>88.457565000000002</v>
      </c>
      <c r="G3">
        <v>88.457565000000002</v>
      </c>
      <c r="H3">
        <v>24.579640999999999</v>
      </c>
      <c r="I3">
        <v>14.510312000000001</v>
      </c>
      <c r="J3">
        <v>3391.9904940000001</v>
      </c>
      <c r="K3">
        <v>23.63035</v>
      </c>
      <c r="L3">
        <v>35.801223</v>
      </c>
      <c r="M3">
        <f t="shared" si="0"/>
        <v>0.10478041669197595</v>
      </c>
    </row>
    <row r="4" spans="1:13" x14ac:dyDescent="0.3">
      <c r="A4">
        <v>13</v>
      </c>
      <c r="B4" t="s">
        <v>124</v>
      </c>
      <c r="C4">
        <v>974</v>
      </c>
      <c r="D4">
        <v>4.9600000000000002E-4</v>
      </c>
      <c r="E4">
        <v>0</v>
      </c>
      <c r="F4">
        <v>103.512253</v>
      </c>
      <c r="G4">
        <v>103.512253</v>
      </c>
      <c r="H4">
        <v>23.341099</v>
      </c>
      <c r="I4">
        <v>15.476107000000001</v>
      </c>
      <c r="J4">
        <v>22734.230373999999</v>
      </c>
      <c r="K4">
        <v>21.14678</v>
      </c>
      <c r="L4">
        <v>41.026603000000001</v>
      </c>
      <c r="M4">
        <f t="shared" si="0"/>
        <v>0.73953714389843894</v>
      </c>
    </row>
    <row r="5" spans="1:13" x14ac:dyDescent="0.3">
      <c r="A5">
        <v>17</v>
      </c>
      <c r="B5" t="s">
        <v>126</v>
      </c>
      <c r="C5">
        <v>10</v>
      </c>
      <c r="D5">
        <v>5.0000000000000004E-6</v>
      </c>
      <c r="E5">
        <v>6.3654140000000003</v>
      </c>
      <c r="F5">
        <v>38.509734999999999</v>
      </c>
      <c r="G5">
        <v>32.144320999999998</v>
      </c>
      <c r="H5">
        <v>18.922315000000001</v>
      </c>
      <c r="I5">
        <v>9.6517079999999993</v>
      </c>
      <c r="J5">
        <v>189.22315</v>
      </c>
      <c r="K5">
        <v>20.565424</v>
      </c>
      <c r="L5">
        <v>26.036200999999998</v>
      </c>
      <c r="M5">
        <f t="shared" si="0"/>
        <v>7.5927838182591268E-3</v>
      </c>
    </row>
    <row r="6" spans="1:13" x14ac:dyDescent="0.3">
      <c r="A6">
        <v>16</v>
      </c>
      <c r="B6" t="s">
        <v>125</v>
      </c>
      <c r="C6">
        <v>801</v>
      </c>
      <c r="D6">
        <v>4.0700000000000003E-4</v>
      </c>
      <c r="E6">
        <v>0</v>
      </c>
      <c r="F6">
        <v>87.374046000000007</v>
      </c>
      <c r="G6">
        <v>87.374046000000007</v>
      </c>
      <c r="H6">
        <v>18.334453</v>
      </c>
      <c r="I6">
        <v>11.810112999999999</v>
      </c>
      <c r="J6">
        <v>14685.896805</v>
      </c>
      <c r="K6">
        <v>17.674709</v>
      </c>
      <c r="L6">
        <v>34.941875000000003</v>
      </c>
      <c r="M6">
        <f t="shared" si="0"/>
        <v>0.60818198384255606</v>
      </c>
    </row>
    <row r="7" spans="1:13" x14ac:dyDescent="0.3">
      <c r="A7">
        <v>4</v>
      </c>
      <c r="B7" t="s">
        <v>118</v>
      </c>
      <c r="C7">
        <v>17147</v>
      </c>
      <c r="D7">
        <v>8.7229999999999999E-3</v>
      </c>
      <c r="E7">
        <v>0</v>
      </c>
      <c r="F7">
        <v>121.958755</v>
      </c>
      <c r="G7">
        <v>121.958755</v>
      </c>
      <c r="H7">
        <v>17.94088</v>
      </c>
      <c r="I7">
        <v>11.33649</v>
      </c>
      <c r="J7">
        <v>307632.27674</v>
      </c>
      <c r="K7">
        <v>15.326461</v>
      </c>
      <c r="L7">
        <v>33.462648999999999</v>
      </c>
      <c r="M7">
        <f t="shared" si="0"/>
        <v>13.019346413168925</v>
      </c>
    </row>
    <row r="8" spans="1:13" x14ac:dyDescent="0.3">
      <c r="A8">
        <v>11</v>
      </c>
      <c r="B8" t="s">
        <v>123</v>
      </c>
      <c r="C8">
        <v>410</v>
      </c>
      <c r="D8">
        <v>2.0900000000000001E-4</v>
      </c>
      <c r="E8">
        <v>0</v>
      </c>
      <c r="F8">
        <v>89.319748000000004</v>
      </c>
      <c r="G8">
        <v>89.319748000000004</v>
      </c>
      <c r="H8">
        <v>21.427067999999998</v>
      </c>
      <c r="I8">
        <v>18.240487000000002</v>
      </c>
      <c r="J8">
        <v>8785.0979659999994</v>
      </c>
      <c r="K8">
        <v>13.911077000000001</v>
      </c>
      <c r="L8">
        <v>48.830938000000003</v>
      </c>
      <c r="M8">
        <f t="shared" si="0"/>
        <v>0.31130413654862421</v>
      </c>
    </row>
    <row r="9" spans="1:13" x14ac:dyDescent="0.3">
      <c r="A9">
        <v>23</v>
      </c>
      <c r="B9" t="s">
        <v>131</v>
      </c>
      <c r="C9">
        <v>4753</v>
      </c>
      <c r="D9">
        <v>2.418E-3</v>
      </c>
      <c r="E9">
        <v>0</v>
      </c>
      <c r="F9">
        <v>61.280589999999997</v>
      </c>
      <c r="G9">
        <v>61.280589999999997</v>
      </c>
      <c r="H9">
        <v>14.590149</v>
      </c>
      <c r="I9">
        <v>8.0337759999999996</v>
      </c>
      <c r="J9">
        <v>69346.978531000001</v>
      </c>
      <c r="K9">
        <v>13.353236000000001</v>
      </c>
      <c r="L9">
        <v>25.210070999999999</v>
      </c>
      <c r="M9">
        <f t="shared" si="0"/>
        <v>3.6088501488185627</v>
      </c>
    </row>
    <row r="10" spans="1:13" x14ac:dyDescent="0.3">
      <c r="A10">
        <v>3</v>
      </c>
      <c r="B10" t="s">
        <v>117</v>
      </c>
      <c r="C10">
        <v>35795</v>
      </c>
      <c r="D10">
        <v>1.821E-2</v>
      </c>
      <c r="E10">
        <v>0</v>
      </c>
      <c r="F10">
        <v>113.326904</v>
      </c>
      <c r="G10">
        <v>113.326904</v>
      </c>
      <c r="H10">
        <v>15.187573</v>
      </c>
      <c r="I10">
        <v>9.9518780000000007</v>
      </c>
      <c r="J10">
        <v>543639.16912099998</v>
      </c>
      <c r="K10">
        <v>12.502442</v>
      </c>
      <c r="L10">
        <v>27.927783999999999</v>
      </c>
      <c r="M10">
        <f t="shared" si="0"/>
        <v>27.178369677458541</v>
      </c>
    </row>
    <row r="11" spans="1:13" x14ac:dyDescent="0.3">
      <c r="A11">
        <v>22</v>
      </c>
      <c r="B11" t="s">
        <v>130</v>
      </c>
      <c r="C11">
        <v>2312</v>
      </c>
      <c r="D11">
        <v>1.176E-3</v>
      </c>
      <c r="E11">
        <v>0</v>
      </c>
      <c r="F11">
        <v>70.972594999999998</v>
      </c>
      <c r="G11">
        <v>70.972594999999998</v>
      </c>
      <c r="H11">
        <v>15.743499</v>
      </c>
      <c r="I11">
        <v>10.676482999999999</v>
      </c>
      <c r="J11">
        <v>36398.970341</v>
      </c>
      <c r="K11">
        <v>12.356892999999999</v>
      </c>
      <c r="L11">
        <v>30.818484999999999</v>
      </c>
      <c r="M11">
        <f t="shared" si="0"/>
        <v>1.7554516187815099</v>
      </c>
    </row>
    <row r="12" spans="1:13" x14ac:dyDescent="0.3">
      <c r="A12">
        <v>2</v>
      </c>
      <c r="B12" t="s">
        <v>116</v>
      </c>
      <c r="C12">
        <v>4303</v>
      </c>
      <c r="D12">
        <v>2.189E-3</v>
      </c>
      <c r="E12">
        <v>0</v>
      </c>
      <c r="F12">
        <v>82.563231999999999</v>
      </c>
      <c r="G12">
        <v>82.563231999999999</v>
      </c>
      <c r="H12">
        <v>14.409238999999999</v>
      </c>
      <c r="I12">
        <v>10.08023</v>
      </c>
      <c r="J12">
        <v>62002.954939000003</v>
      </c>
      <c r="K12">
        <v>11.474724</v>
      </c>
      <c r="L12">
        <v>27.432120999999999</v>
      </c>
      <c r="M12">
        <f t="shared" si="0"/>
        <v>3.267174876996902</v>
      </c>
    </row>
    <row r="13" spans="1:13" x14ac:dyDescent="0.3">
      <c r="A13">
        <v>20</v>
      </c>
      <c r="B13" t="s">
        <v>128</v>
      </c>
      <c r="C13">
        <v>561</v>
      </c>
      <c r="D13">
        <v>2.8499999999999999E-4</v>
      </c>
      <c r="E13">
        <v>0</v>
      </c>
      <c r="F13">
        <v>51.124428000000002</v>
      </c>
      <c r="G13">
        <v>51.124428000000002</v>
      </c>
      <c r="H13">
        <v>13.869515</v>
      </c>
      <c r="I13">
        <v>8.7993210000000008</v>
      </c>
      <c r="J13">
        <v>7780.7981609999997</v>
      </c>
      <c r="K13">
        <v>11.241649000000001</v>
      </c>
      <c r="L13">
        <v>26.266939000000001</v>
      </c>
      <c r="M13">
        <f t="shared" si="0"/>
        <v>0.42595517220433698</v>
      </c>
    </row>
    <row r="14" spans="1:13" x14ac:dyDescent="0.3">
      <c r="A14">
        <v>21</v>
      </c>
      <c r="B14" t="s">
        <v>129</v>
      </c>
      <c r="C14">
        <v>2937</v>
      </c>
      <c r="D14">
        <v>1.4940000000000001E-3</v>
      </c>
      <c r="E14">
        <v>0</v>
      </c>
      <c r="F14">
        <v>69.931213</v>
      </c>
      <c r="G14">
        <v>69.931213</v>
      </c>
      <c r="H14">
        <v>13.208572</v>
      </c>
      <c r="I14">
        <v>8.8069919999999993</v>
      </c>
      <c r="J14">
        <v>38793.576687000001</v>
      </c>
      <c r="K14">
        <v>10.860072000000001</v>
      </c>
      <c r="L14">
        <v>24.258673000000002</v>
      </c>
      <c r="M14">
        <f t="shared" si="0"/>
        <v>2.2300006074227054</v>
      </c>
    </row>
    <row r="15" spans="1:13" x14ac:dyDescent="0.3">
      <c r="A15">
        <v>8</v>
      </c>
      <c r="B15" t="s">
        <v>120</v>
      </c>
      <c r="C15">
        <v>7212</v>
      </c>
      <c r="D15">
        <v>3.669E-3</v>
      </c>
      <c r="E15">
        <v>0</v>
      </c>
      <c r="F15">
        <v>62.101322000000003</v>
      </c>
      <c r="G15">
        <v>62.101322000000003</v>
      </c>
      <c r="H15">
        <v>12.938681000000001</v>
      </c>
      <c r="I15">
        <v>8.0361879999999992</v>
      </c>
      <c r="J15">
        <v>93313.770640000002</v>
      </c>
      <c r="K15">
        <v>10.852884</v>
      </c>
      <c r="L15">
        <v>23.926466000000001</v>
      </c>
      <c r="M15">
        <f t="shared" si="0"/>
        <v>5.475915689728482</v>
      </c>
    </row>
    <row r="16" spans="1:13" x14ac:dyDescent="0.3">
      <c r="A16">
        <v>7</v>
      </c>
      <c r="B16" t="s">
        <v>119</v>
      </c>
      <c r="C16">
        <v>15199</v>
      </c>
      <c r="D16">
        <v>7.7320000000000002E-3</v>
      </c>
      <c r="E16">
        <v>0</v>
      </c>
      <c r="F16">
        <v>114.813957</v>
      </c>
      <c r="G16">
        <v>114.813957</v>
      </c>
      <c r="H16">
        <v>11.751287</v>
      </c>
      <c r="I16">
        <v>7.6481180000000002</v>
      </c>
      <c r="J16">
        <v>178607.81723799999</v>
      </c>
      <c r="K16">
        <v>9.9698150000000005</v>
      </c>
      <c r="L16">
        <v>19.928699000000002</v>
      </c>
      <c r="M16">
        <f t="shared" si="0"/>
        <v>11.540272125372047</v>
      </c>
    </row>
    <row r="17" spans="1:13" x14ac:dyDescent="0.3">
      <c r="A17">
        <v>9</v>
      </c>
      <c r="B17" t="s">
        <v>121</v>
      </c>
      <c r="C17">
        <v>38428</v>
      </c>
      <c r="D17">
        <v>1.9550000000000001E-2</v>
      </c>
      <c r="E17">
        <v>0</v>
      </c>
      <c r="F17">
        <v>95.515945000000002</v>
      </c>
      <c r="G17">
        <v>95.515945000000002</v>
      </c>
      <c r="H17">
        <v>10.840688</v>
      </c>
      <c r="I17">
        <v>7.2389859999999997</v>
      </c>
      <c r="J17">
        <v>416585.96245300001</v>
      </c>
      <c r="K17">
        <v>9.0743290000000005</v>
      </c>
      <c r="L17">
        <v>18.99119</v>
      </c>
      <c r="M17">
        <f t="shared" si="0"/>
        <v>29.177549656806175</v>
      </c>
    </row>
  </sheetData>
  <sortState xmlns:xlrd2="http://schemas.microsoft.com/office/spreadsheetml/2017/richdata2" ref="A2:M17">
    <sortCondition descending="1" ref="K1:K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ReSALT_values</vt:lpstr>
      <vt:lpstr>ReSALT_uncertainty</vt:lpstr>
      <vt:lpstr>Validation</vt:lpstr>
      <vt:lpstr>Spat_avg</vt:lpstr>
      <vt:lpstr>TimeSeries</vt:lpstr>
      <vt:lpstr>TL_Age</vt:lpstr>
      <vt:lpstr>TL_Age_EIC</vt:lpstr>
      <vt:lpstr>Mean r2</vt:lpstr>
      <vt:lpstr>ADDT</vt:lpstr>
      <vt:lpstr>geomorphE19</vt:lpstr>
      <vt:lpstr>geomorphEIC19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Nguyen</dc:creator>
  <cp:lastModifiedBy>Nguyen, Alexander</cp:lastModifiedBy>
  <cp:lastPrinted>2026-03-16T18:07:04Z</cp:lastPrinted>
  <dcterms:created xsi:type="dcterms:W3CDTF">2015-06-05T18:17:20Z</dcterms:created>
  <dcterms:modified xsi:type="dcterms:W3CDTF">2026-08-13T01:32:00Z</dcterms:modified>
</cp:coreProperties>
</file>